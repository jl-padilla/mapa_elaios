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el\Documents\elaios_mapa\proyecto_mapa_excursiones\datos\"/>
    </mc:Choice>
  </mc:AlternateContent>
  <xr:revisionPtr revIDLastSave="0" documentId="13_ncr:1_{5F14680E-60FD-4EF1-8536-95333FFE8742}" xr6:coauthVersionLast="47" xr6:coauthVersionMax="47" xr10:uidLastSave="{00000000-0000-0000-0000-000000000000}"/>
  <bookViews>
    <workbookView xWindow="-108" yWindow="-108" windowWidth="23256" windowHeight="12456" xr2:uid="{C3071397-29EF-4FE4-BFF9-584C2604D77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2" i="1"/>
</calcChain>
</file>

<file path=xl/sharedStrings.xml><?xml version="1.0" encoding="utf-8"?>
<sst xmlns="http://schemas.openxmlformats.org/spreadsheetml/2006/main" count="181" uniqueCount="109">
  <si>
    <t>mes_numerico</t>
  </si>
  <si>
    <t>Mes</t>
  </si>
  <si>
    <t>Año</t>
  </si>
  <si>
    <t>Excursion</t>
  </si>
  <si>
    <t>Track_confirmado</t>
  </si>
  <si>
    <t>Track_Wikiloc_sugerido</t>
  </si>
  <si>
    <t>Enero</t>
  </si>
  <si>
    <t>Torrollones de la Gabarda</t>
  </si>
  <si>
    <t>Grañen</t>
  </si>
  <si>
    <t>https://es.wikiloc.com/rutas-senderismo/torrollones-de-la-gabarda-circular-37581955</t>
  </si>
  <si>
    <t>https://es.wikiloc.com/wikiloc/map.do?q=Torrollones%20de%20la%20Gabarda</t>
  </si>
  <si>
    <t>Febrero</t>
  </si>
  <si>
    <t xml:space="preserve">Arco de Gratal - Las Calmas </t>
  </si>
  <si>
    <t>Monrepos</t>
  </si>
  <si>
    <t>https://es.wikiloc.com/rutas-senderismo/arguis-arco-de-gratal-por-las-calmas-y-mas-165172877</t>
  </si>
  <si>
    <t>https://es.wikiloc.com/wikiloc/map.do?q=Arco%20de%20Gratal</t>
  </si>
  <si>
    <t>Marzo</t>
  </si>
  <si>
    <t>Deltebre-Sant Jaume d’Enveja-La Punta De La Banya_x0002_Eucaliptus-Els Muntells-Sant Jaume D’Enveja-Deltebre. (Panteres Grogues)</t>
  </si>
  <si>
    <t>Deltebre</t>
  </si>
  <si>
    <t>https://es.wikiloc.com/rutas-mountain-bike/deltebre-sant-jaume-denveja-la-punta-de-la-banya-eucaliptus-els-muntells-sant-jaume-denveja-deltebr-28036377</t>
  </si>
  <si>
    <t>https://es.wikiloc.com/wikiloc/map.do?q=Bicicleta%20en%20el%20Delta</t>
  </si>
  <si>
    <t>Ecomuseo-Paseo fluvial del Delta-Arrozales-Dunas de Riomar-Balsa del Garxal-Mirador de Zigurat-Barracas tradicionales_x0002_Desembocadura (Panteres Grogues)</t>
  </si>
  <si>
    <t>https://ca.wikiloc.com/rutes-cicloturisme/02-pnde-b-ecomuseu-desembocadura-163742410</t>
  </si>
  <si>
    <t>Abril</t>
  </si>
  <si>
    <t>Uña, Las Catedrales, La Raya, El Escalerón (Dracs)</t>
  </si>
  <si>
    <t>Uña</t>
  </si>
  <si>
    <t>https://ca.wikiloc.com/rutes-senderisme/una-las-catedrales-la-raya-el-escaleron-una-cuenca-97389511?utm_medium=app&amp;utm_campaign=share&amp;utm_source=1919134</t>
  </si>
  <si>
    <t>https://es.wikiloc.com/wikiloc/map.do?q=U%C3%B1a%20%28Cuenca%29%20%28Dracs%29</t>
  </si>
  <si>
    <t>Nacimiento del río Cuervo y subida a la muela de San Felipe. (Dracs)</t>
  </si>
  <si>
    <t>https://gl.wikiloc.com/rutas-sendeirismo/nacimiento-del-rio-cuervo-y-subida-a-la-muela-de-san-felipe-vuelta-por-mirador-del-cuervo-pr-cu-78-105693158</t>
  </si>
  <si>
    <t>Mayo</t>
  </si>
  <si>
    <t>Camino Natural de Castejón de Monegros</t>
  </si>
  <si>
    <t>Castejon de Monegros</t>
  </si>
  <si>
    <t>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</t>
  </si>
  <si>
    <t>https://es.wikiloc.com/wikiloc/map.do?q=Castej%C3%B3n%20de%20Monegros</t>
  </si>
  <si>
    <t>Junio</t>
  </si>
  <si>
    <t>Ascensión al Moncayo o pico de San Miguel</t>
  </si>
  <si>
    <t>Santuario</t>
  </si>
  <si>
    <t>https://es.wikiloc.com/rutas-senderismo/circular-sierra-del-moncayo-santuario-moncayo-collado-bellido-santuario-gr-86-y-gr-90-1-14260797</t>
  </si>
  <si>
    <t>https://es.wikiloc.com/wikiloc/map.do?q=Moncayo</t>
  </si>
  <si>
    <t>Julio</t>
  </si>
  <si>
    <t>Viaje a Escocia</t>
  </si>
  <si>
    <t>https://es.wikiloc.com/wikiloc/map.do?q=Viaje%20a%20Escocia</t>
  </si>
  <si>
    <t>Dedo de Yenefrito</t>
  </si>
  <si>
    <t>Panticosa</t>
  </si>
  <si>
    <t>https://gl.wikiloc.com/rutas-sendeirismo/panticosa-dedo-de-yenefrito-pr-hu-95-pista-del-verde-cascada-de-forronias-panticosa-133316057</t>
  </si>
  <si>
    <t>https://es.wikiloc.com/wikiloc/map.do?q=Dedo%20de%20Yenefrito</t>
  </si>
  <si>
    <t>Agosto</t>
  </si>
  <si>
    <t>Pico Culfreda  (Panteres Grogues)</t>
  </si>
  <si>
    <t>Refugio Viados</t>
  </si>
  <si>
    <t>https://es.wikiloc.com/rutas-alpinismo/culfreda-nw-3-034-m-desde-viados-139737580</t>
  </si>
  <si>
    <t>https://es.wikiloc.com/wikiloc/map.do?q=Viad%C3%B3s%3A%20Culfreda%20%20%28Panteres%20Grogues%29</t>
  </si>
  <si>
    <t>Circular Ref. Viadós – Bordas de Lisier – Espital de Chistén (Panteres Grogues)</t>
  </si>
  <si>
    <t>https://es.wikiloc.com/rutas-senderismo/pista-viados-cruce-viados-bordas-de-licierte-ida-y-vuelta-195520530</t>
  </si>
  <si>
    <t>Octubre</t>
  </si>
  <si>
    <t>Despoblado de Peña (RGP)</t>
  </si>
  <si>
    <t>Aibar</t>
  </si>
  <si>
    <t>https://gl.wikiloc.com/rutas-sendeirismo/ermita-san-zoilocaseda-pena-ermita-san-zoilo-86809531</t>
  </si>
  <si>
    <t>https://es.wikiloc.com/wikiloc/map.do?q=Sierra%20de%20Leyre%20%28RGP%29</t>
  </si>
  <si>
    <t>Sierra de Leyre: Paso del Oso y cima del Castellar (RGP)</t>
  </si>
  <si>
    <t>https://gl.wikiloc.com/rutas-sendeirismo/circular-por-la-sierra-de-leyre-12790658</t>
  </si>
  <si>
    <t>octubre</t>
  </si>
  <si>
    <t>Peña Canciás</t>
  </si>
  <si>
    <t>Laguarta</t>
  </si>
  <si>
    <t>https://loc.wiki/t/2334169?h=6lpn4ldaz8&amp;wa=sd&amp;la=es</t>
  </si>
  <si>
    <t>https://es.wikiloc.com/wikiloc/map.do?q=Canci%C3%A1s</t>
  </si>
  <si>
    <t>Noviembre</t>
  </si>
  <si>
    <t>Valle de Sorrosal y refugio Planas d'Abozo</t>
  </si>
  <si>
    <t>Linás de Broto</t>
  </si>
  <si>
    <t>https://loc.wiki/t/218694610?h=6lpn4ldaz8&amp;wa=sd&amp;la=es</t>
  </si>
  <si>
    <t>https://es.wikiloc.com/wikiloc/map.do?q=Valle%20de%20Sorrosal%20/%20Broto-Fragen-Torla</t>
  </si>
  <si>
    <t>Circular Tozal del Cebollar y Sierra Casa</t>
  </si>
  <si>
    <t>https://loc.wiki/t/11281634?h=6lpn4ldaz8&amp;wa=sd&amp;la=es</t>
  </si>
  <si>
    <t>https://es.wikiloc.com/wikiloc/map.do?q=%20Broto-Fragen-Torla</t>
  </si>
  <si>
    <t>localizacion mapa(latitud, longitud)</t>
  </si>
  <si>
    <t>https://www.google.com/maps/place/Puerto+de+Monrep%C3%B3s/@42.3283125,-0.4178397,3214m/data=!3m2!1e3!4b1!4m6!3m5!1s0xd583bcea6a4974d:0xf8d106bfa7cc39b0!8m2!3d42.3282976!4d-0.40754!16s%2Fg%2F121sr9ps?authuser=0&amp;entry=ttu&amp;g_ep=EgoyMDI2MDYyOS4wIKXMDSoASAFQAw%3D%3D</t>
  </si>
  <si>
    <t>https://www.google.com/maps/place/22260+Gra%C3%B1%C3%A9n,+Huesca/@41.9422982,-0.3729445,1617m/data=!3m2!1e3!4b1!4m6!3m5!1s0xd585f36e2040557:0x78315d19bfb1484c!8m2!3d41.9395167!4d-0.3695392!16s%2Fm%2F02wck7y?authuser=0&amp;entry=ttu&amp;g_ep=EgoyMDI2MDYyOS4wIKXMDSoASAFQAw%3D%3D</t>
  </si>
  <si>
    <t>https://www.google.com/maps/place/43580+Deltebre,+Tarragona/@40.7198717,0.6951499,6590m/data=!3m2!1e3!4b1!4m6!3m5!1s0x12a105d348572479:0xfb58945ba828fdd6!8m2!3d40.7212388!4d0.7176492!16s%2Fg%2F11cn61scx4?authuser=0&amp;entry=ttu&amp;g_ep=EgoyMDI2MDYyOS4wIKXMDSoASAFQAw%3D%3D</t>
  </si>
  <si>
    <t>https://www.google.com/maps/place/16152+U%C3%B1a,+Cuenca/@40.2232186,-1.9812516,830m/data=!3m2!1e3!4b1!4m10!1m2!2m1!1zdcOxYQ!3m6!1s0xd5d720ccf0bcc13:0x40340f3be4c61f0!8m2!3d40.2234037!4d-1.9768377!15sCgR1w7FhkgEIbG9jYWxpdHngAQA!16s%2Fm%2F02z9ws3?authuser=0&amp;entry=ttu&amp;g_ep=EgoyMDI2MDYyOS4wIKXMDSoASAFQAw%3D%3D</t>
  </si>
  <si>
    <t>https://www.google.com/maps/place/22222+Castej%C3%B3n+de+Monegros,+Huesca/@41.6174377,-0.2445868,1625m/data=!3m2!1e3!4b1!4m6!3m5!1s0xd5895ebc150cd47:0x9eaa1ebc1b223d4e!8m2!3d41.6171493!4d-0.2397116!16s%2Fm%2F02z9nq7?authuser=0&amp;entry=ttu&amp;g_ep=EgoyMDI2MDYyOS4wIKXMDSoASAFQAw%3D%3D</t>
  </si>
  <si>
    <t>https://www.google.com/maps/place/Restaurante+Santuario+del+Moncayo/@41.7904033,-1.8201557,810m/data=!3m2!1e3!4b1!4m6!3m5!1s0xd5bacc83cc2a21f:0x56aee2604d661196!8m2!3d41.7903993!4d-1.8175808!16s%2Fg%2F1tjdhjg6?authuser=0&amp;entry=ttu&amp;g_ep=EgoyMDI2MDYyOS4wIKXMDSoASAFQAw%3D%3D</t>
  </si>
  <si>
    <t>https://www.google.com/maps/place/Escocia,+Reino+Unido/@57.6431093,-9.9612854,1191230m/data=!3m2!1e3!4b1!4m6!3m5!1s0x4861e2c403f2a19f:0xe7c1fad809c30714!8m2!3d57.7470222!4d-4.6873058!16zL20vMDZxMXI?authuser=0&amp;entry=ttu&amp;g_ep=EgoyMDI2MDYyOS4wIKXMDSoASAFQAw%3D%3D</t>
  </si>
  <si>
    <t>https://www.google.com/maps/place/Panticosa,+Huesca/@42.7427609,-0.3285064,25541m/data=!3m2!1e3!4b1!4m6!3m5!1s0xd57ed4188be1f05:0xb3fcb780e0b1221d!8m2!3d42.7269014!4d-0.2432307!16s%2Fm%2F02z9p7f?authuser=0&amp;entry=ttu&amp;g_ep=EgoyMDI2MDYyOS4wIKXMDSoASAFQAw%3D%3D</t>
  </si>
  <si>
    <t>https://www.google.com/maps/place/Refugio+de+Viad%C3%B3s/@42.660696,0.374645,799m/data=!3m2!1e3!4b1!4m6!3m5!1s0x12a8717daad4ae7d:0xcc729d66691677d7!8m2!3d42.6606921!4d0.3772199!16s%2Fg%2F11b5wmk6m8?authuser=0&amp;entry=ttu&amp;g_ep=EgoyMDI2MDYyOS4wIKXMDSoASAFQAw%3D%3D</t>
  </si>
  <si>
    <t>https://www.google.com/maps/place/31460+Aibar,+Navarra/@42.5926297,-1.3724192,3200m/data=!3m2!1e3!4b1!4m6!3m5!1s0xd50a89cbaf0fd07:0x24de53c99256b10!8m2!3d42.5931438!4d-1.3601865!16s%2Fg%2F11bwdngmw1?authuser=0&amp;entry=ttu&amp;g_ep=EgoyMDI2MDYyOS4wIKXMDSoASAFQAw%3D%3D</t>
  </si>
  <si>
    <t>https://www.google.com/maps/place/22623+Laguarta,+Huesca/@42.4132913,-0.1197907,401m/data=!3m2!1e3!4b1!4m6!3m5!1s0xd5805732d7ff641:0xf2620ec776f70c98!8m2!3d42.4137495!4d-0.1187925!16s%2Fg%2F120knddh?authuser=0&amp;entry=ttu&amp;g_ep=EgoyMDI2MDYyOS4wIKXMDSoASAFQAw%3D%3D</t>
  </si>
  <si>
    <t>https://www.google.com/maps/place/22378+Lin%C3%A1s+de+Broto,+Huesca/@42.6181914,-0.1718335,800m/data=!3m2!1e3!4b1!4m6!3m5!1s0xd57f7386ad5d01d:0xb63ce5e0cabc117a!8m2!3d42.6191226!4d-0.1691052!16s%2Fg%2F12307bzf?authuser=0&amp;entry=ttu&amp;g_ep=EgoyMDI2MDYyOS4wIKXMDSoASAFQAw%3D%3D</t>
  </si>
  <si>
    <t>dia</t>
  </si>
  <si>
    <t>fecha</t>
  </si>
  <si>
    <t>LATITUD</t>
  </si>
  <si>
    <t>LONGITUD</t>
  </si>
  <si>
    <t>DIFICULTAD</t>
  </si>
  <si>
    <t>PROVINCIA</t>
  </si>
  <si>
    <t>excursion</t>
  </si>
  <si>
    <t>baja</t>
  </si>
  <si>
    <t>Huesca</t>
  </si>
  <si>
    <t>Tarragona</t>
  </si>
  <si>
    <t>Cuenca</t>
  </si>
  <si>
    <t>Zaragoza</t>
  </si>
  <si>
    <t>Escocia</t>
  </si>
  <si>
    <t>Navarra</t>
  </si>
  <si>
    <t>LOGOS</t>
  </si>
  <si>
    <t>elaios</t>
  </si>
  <si>
    <t>elaios; panteres_grogues</t>
  </si>
  <si>
    <t>elaios; dracs</t>
  </si>
  <si>
    <t>elaios; rgp</t>
  </si>
  <si>
    <t>Poblacion</t>
  </si>
  <si>
    <t>Participantes</t>
  </si>
  <si>
    <t>TIPO_ACTIVIDAD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</si>
</sst>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242424"/>
      <name val="Segoe UI"/>
      <family val="2"/>
    </font>
    <font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1" applyAlignment="1" applyProtection="1"/>
    <xf numFmtId="0" fontId="3" fillId="0" borderId="0" xfId="0" applyFont="1"/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4" fillId="0" borderId="0" xfId="1" applyFont="1" applyAlignment="1" applyProtection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s.wikiloc.com/wikiloc/map.do?q=Viad%C3%B3s%3A%20Culfreda%20%20%28Panteres%20Grogues%29" TargetMode="External"/><Relationship Id="rId13" Type="http://schemas.openxmlformats.org/officeDocument/2006/relationships/hyperlink" Target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TargetMode="External"/><Relationship Id="rId18" Type="http://schemas.openxmlformats.org/officeDocument/2006/relationships/hyperlink" Target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TargetMode="External"/><Relationship Id="rId3" Type="http://schemas.openxmlformats.org/officeDocument/2006/relationships/hyperlink" Target="https://es.wikiloc.com/wikiloc/map.do?q=Bicicleta%20en%20el%20Delta" TargetMode="External"/><Relationship Id="rId21" Type="http://schemas.openxmlformats.org/officeDocument/2006/relationships/hyperlink" Target="https://es.wikiloc.com/wikiloc/map.do?q=Canci%C3%A1s" TargetMode="External"/><Relationship Id="rId7" Type="http://schemas.openxmlformats.org/officeDocument/2006/relationships/hyperlink" Target="https://es.wikiloc.com/wikiloc/map.do?q=Viaje%20a%20Escocia" TargetMode="External"/><Relationship Id="rId12" Type="http://schemas.openxmlformats.org/officeDocument/2006/relationships/hyperlink" Target="https://emea01.safelinks.protection.outlook.com/?url=https%3A%2F%2Fgl.wikiloc.com%2Frutas-sendeirismo%2Fpanticosa-dedo-de-yenefrito-pr-hu-95-pista-del-verde-cascada-de-forronias-panticosa-133316057&amp;data=05%7C02%7C%7C261c33e13c80414565ea08ddbf15e7e6%7C84df9e7fe9f640afb435aaaaaaaaaaaa%7C1%7C0%7C638876822981940343%7CUnknown%7CTWFpbGZsb3d8eyJFbXB0eU1hcGkiOnRydWUsIlYiOiIwLjAuMDAwMCIsIlAiOiJXaW4zMiIsIkFOIjoiTWFpbCIsIldUIjoyfQ%3D%3D%7C0%7C%7C%7C&amp;sdata=sMYi3bhitLD9VZAX7iuwWK6geRpa4sn8iVrlLZSe5E0%3D&amp;reserved=0" TargetMode="External"/><Relationship Id="rId17" Type="http://schemas.openxmlformats.org/officeDocument/2006/relationships/hyperlink" Target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TargetMode="External"/><Relationship Id="rId2" Type="http://schemas.openxmlformats.org/officeDocument/2006/relationships/hyperlink" Target="https://es.wikiloc.com/wikiloc/map.do?q=Arco%20de%20Gratal" TargetMode="External"/><Relationship Id="rId16" Type="http://schemas.openxmlformats.org/officeDocument/2006/relationships/hyperlink" Target="https://gl.wikiloc.com/rutas-sendeirismo/nacimiento-del-rio-cuervo-y-subida-a-la-muela-de-san-felipe-vuelta-por-mirador-del-cuervo-pr-cu-78-105693158" TargetMode="External"/><Relationship Id="rId20" Type="http://schemas.openxmlformats.org/officeDocument/2006/relationships/hyperlink" Target="https://es.wikiloc.com/wikiloc/map.do?q=%20Broto-Fragen-Torla" TargetMode="External"/><Relationship Id="rId1" Type="http://schemas.openxmlformats.org/officeDocument/2006/relationships/hyperlink" Target="https://es.wikiloc.com/wikiloc/map.do?q=Torrollones%20de%20la%20Gabarda" TargetMode="External"/><Relationship Id="rId6" Type="http://schemas.openxmlformats.org/officeDocument/2006/relationships/hyperlink" Target="https://es.wikiloc.com/wikiloc/map.do?q=Moncayo" TargetMode="External"/><Relationship Id="rId11" Type="http://schemas.openxmlformats.org/officeDocument/2006/relationships/hyperlink" Target="https://emea01.safelinks.protection.outlook.com/?url=https%3A%2F%2Fes.wikiloc.com%2Frutas-alpinismo%2Fculfreda-nw-3-034-m-desde-viados-139737580&amp;data=05%7C02%7C%7Cb20eecc1066a4b87717608ddc8845fea%7C84df9e7fe9f640afb435aaaaaaaaaaaa%7C1%7C0%7C638887193042564521%7CUnknown%7CTWFpbGZsb3d8eyJFbXB0eU1hcGkiOnRydWUsIlYiOiIwLjAuMDAwMCIsIlAiOiJXaW4zMiIsIkFOIjoiTWFpbCIsIldUIjoyfQ%3D%3D%7C0%7C%7C%7C&amp;sdata=wXWZXnS5hj50rZDK1h%2BGTyrj4D%2BSYG0vvOP6DpumohQ%3D&amp;reserved=0" TargetMode="External"/><Relationship Id="rId24" Type="http://schemas.openxmlformats.org/officeDocument/2006/relationships/hyperlink" Target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TargetMode="External"/><Relationship Id="rId5" Type="http://schemas.openxmlformats.org/officeDocument/2006/relationships/hyperlink" Target="https://es.wikiloc.com/wikiloc/map.do?q=Castej%C3%B3n%20de%20Monegros" TargetMode="External"/><Relationship Id="rId15" Type="http://schemas.openxmlformats.org/officeDocument/2006/relationships/hyperlink" Target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TargetMode="External"/><Relationship Id="rId23" Type="http://schemas.openxmlformats.org/officeDocument/2006/relationships/hyperlink" Target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TargetMode="External"/><Relationship Id="rId10" Type="http://schemas.openxmlformats.org/officeDocument/2006/relationships/hyperlink" Target="https://es.wikiloc.com/wikiloc/map.do?q=Dedo%20de%20Yenefrito" TargetMode="External"/><Relationship Id="rId19" Type="http://schemas.openxmlformats.org/officeDocument/2006/relationships/hyperlink" Target="https://es.wikiloc.com/wikiloc/map.do?q=Valle%20de%20Sorrosal%20/%20Broto-Fragen-Torla" TargetMode="External"/><Relationship Id="rId4" Type="http://schemas.openxmlformats.org/officeDocument/2006/relationships/hyperlink" Target="https://es.wikiloc.com/wikiloc/map.do?q=U%C3%B1a%20%28Cuenca%29%20%28Dracs%29" TargetMode="External"/><Relationship Id="rId9" Type="http://schemas.openxmlformats.org/officeDocument/2006/relationships/hyperlink" Target="https://es.wikiloc.com/wikiloc/map.do?q=Sierra%20de%20Leyre%20%28RGP%29" TargetMode="External"/><Relationship Id="rId14" Type="http://schemas.openxmlformats.org/officeDocument/2006/relationships/hyperlink" Target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TargetMode="External"/><Relationship Id="rId22" Type="http://schemas.openxmlformats.org/officeDocument/2006/relationships/hyperlink" Target="https://emea01.safelinks.protection.outlook.com/?url=https%3A%2F%2Floc.wiki%2Ft%2F11281634%3Fh%3D6lpn4ldaz8%26wa%3Dsd%26la%3Des&amp;data=05%7C02%7C%7C03067d25e0354a894be408de1be19080%7C84df9e7fe9f640afb435aaaaaaaaaaaa%7C1%7C0%7C638978852756375713%7CUnknown%7CTWFpbGZsb3d8eyJFbXB0eU1hcGkiOnRydWUsIlYiOiIwLjAuMDAwMCIsIlAiOiJXaW4zMiIsIkFOIjoiTWFpbCIsIldUIjoyfQ%3D%3D%7C0%7C%7C%7C&amp;sdata=3SoTy0wBnXLCh03RQ6NJ3dAto2Z6Pg5m9lmQNi5F8io%3D&amp;reserved=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2D137-B0F7-489C-BBD5-87D14D584D75}">
  <dimension ref="A1:Q18"/>
  <sheetViews>
    <sheetView tabSelected="1" topLeftCell="M1" zoomScale="80" zoomScaleNormal="80" workbookViewId="0">
      <selection activeCell="O2" sqref="O2"/>
    </sheetView>
  </sheetViews>
  <sheetFormatPr baseColWidth="10" defaultRowHeight="14.4" x14ac:dyDescent="0.3"/>
  <cols>
    <col min="1" max="1" width="10.5546875" bestFit="1" customWidth="1"/>
    <col min="2" max="2" width="13.88671875" bestFit="1" customWidth="1"/>
    <col min="3" max="3" width="13.88671875" customWidth="1"/>
    <col min="4" max="4" width="10.21875" bestFit="1" customWidth="1"/>
    <col min="5" max="5" width="5" bestFit="1" customWidth="1"/>
    <col min="6" max="6" width="56.21875" customWidth="1"/>
    <col min="7" max="7" width="20" bestFit="1" customWidth="1"/>
    <col min="8" max="9" width="20" customWidth="1"/>
    <col min="10" max="10" width="39.109375" customWidth="1"/>
    <col min="11" max="11" width="16.5546875" customWidth="1"/>
    <col min="12" max="12" width="46.44140625" customWidth="1"/>
    <col min="13" max="14" width="31.88671875" customWidth="1"/>
    <col min="15" max="15" width="16" bestFit="1" customWidth="1"/>
  </cols>
  <sheetData>
    <row r="1" spans="1:17" x14ac:dyDescent="0.3">
      <c r="A1" s="6" t="s">
        <v>88</v>
      </c>
      <c r="B1" s="1" t="s">
        <v>0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106</v>
      </c>
      <c r="H1" s="6" t="s">
        <v>89</v>
      </c>
      <c r="I1" s="6" t="s">
        <v>90</v>
      </c>
      <c r="J1" s="1" t="s">
        <v>74</v>
      </c>
      <c r="K1" s="1" t="s">
        <v>107</v>
      </c>
      <c r="L1" s="1" t="s">
        <v>4</v>
      </c>
      <c r="M1" s="1" t="s">
        <v>5</v>
      </c>
      <c r="N1" s="2" t="s">
        <v>101</v>
      </c>
      <c r="O1" s="2" t="s">
        <v>108</v>
      </c>
      <c r="P1" s="2" t="s">
        <v>91</v>
      </c>
      <c r="Q1" s="2" t="s">
        <v>92</v>
      </c>
    </row>
    <row r="2" spans="1:17" x14ac:dyDescent="0.3">
      <c r="A2" s="7" t="str">
        <f>CONCATENATE(E2,"_",TEXT(B2,"00"),"_",TEXT(C2,"00"))</f>
        <v>2025_01_01</v>
      </c>
      <c r="B2">
        <v>1</v>
      </c>
      <c r="C2">
        <v>1</v>
      </c>
      <c r="D2" t="s">
        <v>6</v>
      </c>
      <c r="E2">
        <v>2025</v>
      </c>
      <c r="F2" t="s">
        <v>7</v>
      </c>
      <c r="G2" t="s">
        <v>8</v>
      </c>
      <c r="H2" s="7" t="str">
        <f>MID(J2,FIND("@",J2)+1,FIND(",",J2,FIND("@",J2))-FIND("@",J2)-1)</f>
        <v>41.9422982</v>
      </c>
      <c r="I2" s="7">
        <f>VALUE(SUBSTITUTE(MID(J2,FIND(",",J2,FIND("@",J2))+1,FIND(",",J2,FIND(",",J2,FIND("@",J2))+1)-FIND(",",J2,FIND("@",J2))-1),".",","))</f>
        <v>-0.37294450000000001</v>
      </c>
      <c r="J2" t="s">
        <v>76</v>
      </c>
      <c r="K2">
        <v>25</v>
      </c>
      <c r="L2" t="s">
        <v>9</v>
      </c>
      <c r="M2" s="3" t="s">
        <v>10</v>
      </c>
      <c r="N2" s="8" t="s">
        <v>102</v>
      </c>
      <c r="O2" t="s">
        <v>93</v>
      </c>
      <c r="P2" t="s">
        <v>94</v>
      </c>
      <c r="Q2" t="s">
        <v>95</v>
      </c>
    </row>
    <row r="3" spans="1:17" ht="15" x14ac:dyDescent="0.35">
      <c r="A3" s="7" t="str">
        <f t="shared" ref="A3:A18" si="0">CONCATENATE(E3,"_",TEXT(B3,"00"),"_",TEXT(C3,"00"))</f>
        <v>2025_02_01</v>
      </c>
      <c r="B3">
        <v>2</v>
      </c>
      <c r="C3">
        <v>1</v>
      </c>
      <c r="D3" t="s">
        <v>11</v>
      </c>
      <c r="E3">
        <v>2025</v>
      </c>
      <c r="F3" s="4" t="s">
        <v>12</v>
      </c>
      <c r="G3" t="s">
        <v>13</v>
      </c>
      <c r="H3" s="7" t="str">
        <f t="shared" ref="H3:H18" si="1">MID(J3,FIND("@",J3)+1,FIND(",",J3,FIND("@",J3))-FIND("@",J3)-1)</f>
        <v>42.3283125</v>
      </c>
      <c r="I3" s="7">
        <f t="shared" ref="I3:I18" si="2">VALUE(SUBSTITUTE(MID(J3,FIND(",",J3,FIND("@",J3))+1,FIND(",",J3,FIND(",",J3,FIND("@",J3))+1)-FIND(",",J3,FIND("@",J3))-1),".",","))</f>
        <v>-0.41783969999999998</v>
      </c>
      <c r="J3" t="s">
        <v>75</v>
      </c>
      <c r="K3">
        <v>25</v>
      </c>
      <c r="L3" t="s">
        <v>14</v>
      </c>
      <c r="M3" s="3" t="s">
        <v>15</v>
      </c>
      <c r="N3" s="8" t="s">
        <v>102</v>
      </c>
      <c r="O3" t="s">
        <v>93</v>
      </c>
      <c r="P3" t="s">
        <v>94</v>
      </c>
      <c r="Q3" t="s">
        <v>95</v>
      </c>
    </row>
    <row r="4" spans="1:17" x14ac:dyDescent="0.3">
      <c r="A4" s="7" t="str">
        <f t="shared" si="0"/>
        <v>2025_03_01</v>
      </c>
      <c r="B4">
        <v>3</v>
      </c>
      <c r="C4">
        <v>1</v>
      </c>
      <c r="D4" t="s">
        <v>16</v>
      </c>
      <c r="E4">
        <v>2025</v>
      </c>
      <c r="F4" t="s">
        <v>17</v>
      </c>
      <c r="G4" t="s">
        <v>18</v>
      </c>
      <c r="H4" s="7" t="str">
        <f t="shared" si="1"/>
        <v>40.7198717</v>
      </c>
      <c r="I4" s="7">
        <f t="shared" si="2"/>
        <v>0.69514989999999999</v>
      </c>
      <c r="J4" t="s">
        <v>77</v>
      </c>
      <c r="K4">
        <v>25</v>
      </c>
      <c r="L4" s="3" t="s">
        <v>19</v>
      </c>
      <c r="M4" s="3" t="s">
        <v>20</v>
      </c>
      <c r="N4" s="8" t="s">
        <v>103</v>
      </c>
      <c r="O4" t="s">
        <v>93</v>
      </c>
      <c r="P4" t="s">
        <v>94</v>
      </c>
      <c r="Q4" t="s">
        <v>96</v>
      </c>
    </row>
    <row r="5" spans="1:17" x14ac:dyDescent="0.3">
      <c r="A5" s="7" t="str">
        <f t="shared" si="0"/>
        <v>2025_03_01</v>
      </c>
      <c r="B5">
        <v>3</v>
      </c>
      <c r="C5">
        <v>1</v>
      </c>
      <c r="D5" t="s">
        <v>16</v>
      </c>
      <c r="E5">
        <v>2025</v>
      </c>
      <c r="F5" t="s">
        <v>21</v>
      </c>
      <c r="G5" t="s">
        <v>18</v>
      </c>
      <c r="H5" s="7" t="str">
        <f t="shared" si="1"/>
        <v>40.7198717</v>
      </c>
      <c r="I5" s="7">
        <f t="shared" si="2"/>
        <v>0.69514989999999999</v>
      </c>
      <c r="J5" t="s">
        <v>77</v>
      </c>
      <c r="K5">
        <v>25</v>
      </c>
      <c r="L5" s="3" t="s">
        <v>22</v>
      </c>
      <c r="M5" s="3"/>
      <c r="N5" s="8" t="s">
        <v>103</v>
      </c>
      <c r="O5" t="s">
        <v>93</v>
      </c>
      <c r="P5" t="s">
        <v>94</v>
      </c>
      <c r="Q5" t="s">
        <v>96</v>
      </c>
    </row>
    <row r="6" spans="1:17" x14ac:dyDescent="0.3">
      <c r="A6" s="7" t="str">
        <f t="shared" si="0"/>
        <v>2025_04_01</v>
      </c>
      <c r="B6">
        <v>4</v>
      </c>
      <c r="C6">
        <v>1</v>
      </c>
      <c r="D6" t="s">
        <v>23</v>
      </c>
      <c r="E6">
        <v>2025</v>
      </c>
      <c r="F6" t="s">
        <v>24</v>
      </c>
      <c r="G6" t="s">
        <v>25</v>
      </c>
      <c r="H6" s="7" t="str">
        <f t="shared" si="1"/>
        <v>40.2232186</v>
      </c>
      <c r="I6" s="7">
        <f t="shared" si="2"/>
        <v>-1.9812516</v>
      </c>
      <c r="J6" t="s">
        <v>78</v>
      </c>
      <c r="K6">
        <v>25</v>
      </c>
      <c r="L6" s="3" t="s">
        <v>26</v>
      </c>
      <c r="M6" s="3" t="s">
        <v>27</v>
      </c>
      <c r="N6" s="8" t="s">
        <v>104</v>
      </c>
      <c r="O6" t="s">
        <v>93</v>
      </c>
      <c r="P6" t="s">
        <v>94</v>
      </c>
      <c r="Q6" t="s">
        <v>97</v>
      </c>
    </row>
    <row r="7" spans="1:17" x14ac:dyDescent="0.3">
      <c r="A7" s="7" t="str">
        <f t="shared" si="0"/>
        <v>2025_04_01</v>
      </c>
      <c r="B7">
        <v>4</v>
      </c>
      <c r="C7">
        <v>1</v>
      </c>
      <c r="D7" t="s">
        <v>23</v>
      </c>
      <c r="E7">
        <v>2025</v>
      </c>
      <c r="F7" t="s">
        <v>28</v>
      </c>
      <c r="G7" t="s">
        <v>25</v>
      </c>
      <c r="H7" s="7" t="str">
        <f t="shared" si="1"/>
        <v>40.2232186</v>
      </c>
      <c r="I7" s="7">
        <f t="shared" si="2"/>
        <v>-1.9812516</v>
      </c>
      <c r="J7" t="s">
        <v>78</v>
      </c>
      <c r="K7">
        <v>25</v>
      </c>
      <c r="L7" s="3" t="s">
        <v>29</v>
      </c>
      <c r="M7" s="3"/>
      <c r="N7" s="8" t="s">
        <v>104</v>
      </c>
      <c r="O7" t="s">
        <v>93</v>
      </c>
      <c r="P7" t="s">
        <v>94</v>
      </c>
      <c r="Q7" t="s">
        <v>97</v>
      </c>
    </row>
    <row r="8" spans="1:17" x14ac:dyDescent="0.3">
      <c r="A8" s="7" t="str">
        <f t="shared" si="0"/>
        <v>2025_05_01</v>
      </c>
      <c r="B8">
        <v>5</v>
      </c>
      <c r="C8">
        <v>1</v>
      </c>
      <c r="D8" t="s">
        <v>30</v>
      </c>
      <c r="E8">
        <v>2025</v>
      </c>
      <c r="F8" s="5" t="s">
        <v>31</v>
      </c>
      <c r="G8" t="s">
        <v>32</v>
      </c>
      <c r="H8" s="7" t="str">
        <f t="shared" si="1"/>
        <v>41.6174377</v>
      </c>
      <c r="I8" s="7">
        <f t="shared" si="2"/>
        <v>-0.24458679999999999</v>
      </c>
      <c r="J8" t="s">
        <v>79</v>
      </c>
      <c r="K8">
        <v>25</v>
      </c>
      <c r="L8" s="3" t="s">
        <v>33</v>
      </c>
      <c r="M8" s="3" t="s">
        <v>34</v>
      </c>
      <c r="N8" s="8" t="s">
        <v>102</v>
      </c>
      <c r="O8" t="s">
        <v>93</v>
      </c>
      <c r="P8" t="s">
        <v>94</v>
      </c>
      <c r="Q8" t="s">
        <v>95</v>
      </c>
    </row>
    <row r="9" spans="1:17" x14ac:dyDescent="0.3">
      <c r="A9" s="7" t="str">
        <f t="shared" si="0"/>
        <v>2025_06_01</v>
      </c>
      <c r="B9">
        <v>6</v>
      </c>
      <c r="C9">
        <v>1</v>
      </c>
      <c r="D9" t="s">
        <v>35</v>
      </c>
      <c r="E9">
        <v>2025</v>
      </c>
      <c r="F9" t="s">
        <v>36</v>
      </c>
      <c r="G9" t="s">
        <v>37</v>
      </c>
      <c r="H9" s="7" t="str">
        <f t="shared" si="1"/>
        <v>41.7904033</v>
      </c>
      <c r="I9" s="7">
        <f t="shared" si="2"/>
        <v>-1.8201556999999999</v>
      </c>
      <c r="J9" t="s">
        <v>80</v>
      </c>
      <c r="K9">
        <v>25</v>
      </c>
      <c r="L9" s="3" t="s">
        <v>38</v>
      </c>
      <c r="M9" s="3" t="s">
        <v>39</v>
      </c>
      <c r="N9" s="8" t="s">
        <v>102</v>
      </c>
      <c r="O9" t="s">
        <v>93</v>
      </c>
      <c r="P9" t="s">
        <v>94</v>
      </c>
      <c r="Q9" t="s">
        <v>95</v>
      </c>
    </row>
    <row r="10" spans="1:17" x14ac:dyDescent="0.3">
      <c r="A10" s="7" t="str">
        <f t="shared" si="0"/>
        <v>2025_07_01</v>
      </c>
      <c r="B10">
        <v>7</v>
      </c>
      <c r="C10">
        <v>1</v>
      </c>
      <c r="D10" t="s">
        <v>40</v>
      </c>
      <c r="E10">
        <v>2025</v>
      </c>
      <c r="F10" t="s">
        <v>41</v>
      </c>
      <c r="H10" s="7" t="str">
        <f t="shared" si="1"/>
        <v>57.6431093</v>
      </c>
      <c r="I10" s="7">
        <f t="shared" si="2"/>
        <v>-9.9612853999999995</v>
      </c>
      <c r="J10" t="s">
        <v>81</v>
      </c>
      <c r="K10">
        <v>25</v>
      </c>
      <c r="M10" s="3" t="s">
        <v>42</v>
      </c>
      <c r="N10" s="8" t="s">
        <v>102</v>
      </c>
      <c r="O10" t="s">
        <v>93</v>
      </c>
      <c r="P10" t="s">
        <v>94</v>
      </c>
      <c r="Q10" t="s">
        <v>98</v>
      </c>
    </row>
    <row r="11" spans="1:17" x14ac:dyDescent="0.3">
      <c r="A11" s="7" t="str">
        <f t="shared" si="0"/>
        <v>2025_07_01</v>
      </c>
      <c r="B11">
        <v>7</v>
      </c>
      <c r="C11">
        <v>1</v>
      </c>
      <c r="D11" t="s">
        <v>40</v>
      </c>
      <c r="E11">
        <v>2025</v>
      </c>
      <c r="F11" t="s">
        <v>43</v>
      </c>
      <c r="G11" t="s">
        <v>44</v>
      </c>
      <c r="H11" s="7" t="str">
        <f t="shared" si="1"/>
        <v>42.7427609</v>
      </c>
      <c r="I11" s="7">
        <f t="shared" si="2"/>
        <v>-0.32850639999999998</v>
      </c>
      <c r="J11" t="s">
        <v>82</v>
      </c>
      <c r="K11">
        <v>25</v>
      </c>
      <c r="L11" s="3" t="s">
        <v>45</v>
      </c>
      <c r="M11" s="3" t="s">
        <v>46</v>
      </c>
      <c r="N11" s="8" t="s">
        <v>102</v>
      </c>
      <c r="O11" t="s">
        <v>93</v>
      </c>
      <c r="P11" t="s">
        <v>94</v>
      </c>
      <c r="Q11" t="s">
        <v>99</v>
      </c>
    </row>
    <row r="12" spans="1:17" x14ac:dyDescent="0.3">
      <c r="A12" s="7" t="str">
        <f t="shared" si="0"/>
        <v>2025_08_01</v>
      </c>
      <c r="B12">
        <v>8</v>
      </c>
      <c r="C12">
        <v>1</v>
      </c>
      <c r="D12" t="s">
        <v>47</v>
      </c>
      <c r="E12">
        <v>2025</v>
      </c>
      <c r="F12" t="s">
        <v>48</v>
      </c>
      <c r="G12" t="s">
        <v>49</v>
      </c>
      <c r="H12" s="7" t="str">
        <f t="shared" si="1"/>
        <v>42.660696</v>
      </c>
      <c r="I12" s="7">
        <f t="shared" si="2"/>
        <v>0.37464500000000001</v>
      </c>
      <c r="J12" t="s">
        <v>83</v>
      </c>
      <c r="K12">
        <v>25</v>
      </c>
      <c r="L12" s="3" t="s">
        <v>50</v>
      </c>
      <c r="M12" s="3" t="s">
        <v>51</v>
      </c>
      <c r="N12" s="8" t="s">
        <v>103</v>
      </c>
      <c r="O12" t="s">
        <v>93</v>
      </c>
      <c r="P12" t="s">
        <v>94</v>
      </c>
      <c r="Q12" t="s">
        <v>95</v>
      </c>
    </row>
    <row r="13" spans="1:17" x14ac:dyDescent="0.3">
      <c r="A13" s="7" t="str">
        <f t="shared" si="0"/>
        <v>2025_08_01</v>
      </c>
      <c r="B13">
        <v>8</v>
      </c>
      <c r="C13">
        <v>1</v>
      </c>
      <c r="D13" t="s">
        <v>47</v>
      </c>
      <c r="E13">
        <v>2025</v>
      </c>
      <c r="F13" t="s">
        <v>52</v>
      </c>
      <c r="G13" t="s">
        <v>49</v>
      </c>
      <c r="H13" s="7" t="str">
        <f t="shared" si="1"/>
        <v>42.660696</v>
      </c>
      <c r="I13" s="7">
        <f t="shared" si="2"/>
        <v>0.37464500000000001</v>
      </c>
      <c r="J13" t="s">
        <v>83</v>
      </c>
      <c r="K13">
        <v>25</v>
      </c>
      <c r="L13" t="s">
        <v>53</v>
      </c>
      <c r="M13" s="3"/>
      <c r="N13" s="8" t="s">
        <v>102</v>
      </c>
      <c r="O13" t="s">
        <v>93</v>
      </c>
      <c r="P13" t="s">
        <v>94</v>
      </c>
      <c r="Q13" t="s">
        <v>95</v>
      </c>
    </row>
    <row r="14" spans="1:17" x14ac:dyDescent="0.3">
      <c r="A14" s="7" t="str">
        <f t="shared" si="0"/>
        <v>2025_10_01</v>
      </c>
      <c r="B14">
        <v>10</v>
      </c>
      <c r="C14">
        <v>1</v>
      </c>
      <c r="D14" t="s">
        <v>54</v>
      </c>
      <c r="E14">
        <v>2025</v>
      </c>
      <c r="F14" t="s">
        <v>55</v>
      </c>
      <c r="G14" t="s">
        <v>56</v>
      </c>
      <c r="H14" s="7" t="str">
        <f t="shared" si="1"/>
        <v>42.5926297</v>
      </c>
      <c r="I14" s="7">
        <f t="shared" si="2"/>
        <v>-1.3724192</v>
      </c>
      <c r="J14" t="s">
        <v>84</v>
      </c>
      <c r="K14">
        <v>25</v>
      </c>
      <c r="L14" t="s">
        <v>57</v>
      </c>
      <c r="M14" s="3" t="s">
        <v>58</v>
      </c>
      <c r="N14" s="8" t="s">
        <v>105</v>
      </c>
      <c r="O14" t="s">
        <v>93</v>
      </c>
      <c r="P14" t="s">
        <v>94</v>
      </c>
      <c r="Q14" t="s">
        <v>95</v>
      </c>
    </row>
    <row r="15" spans="1:17" x14ac:dyDescent="0.3">
      <c r="A15" s="7" t="str">
        <f t="shared" si="0"/>
        <v>2025_10_01</v>
      </c>
      <c r="B15">
        <v>10</v>
      </c>
      <c r="C15">
        <v>1</v>
      </c>
      <c r="D15" t="s">
        <v>54</v>
      </c>
      <c r="E15">
        <v>2025</v>
      </c>
      <c r="F15" t="s">
        <v>59</v>
      </c>
      <c r="G15" t="s">
        <v>56</v>
      </c>
      <c r="H15" s="7" t="str">
        <f t="shared" si="1"/>
        <v>42.5926297</v>
      </c>
      <c r="I15" s="7">
        <f t="shared" si="2"/>
        <v>-1.3724192</v>
      </c>
      <c r="J15" t="s">
        <v>84</v>
      </c>
      <c r="K15">
        <v>25</v>
      </c>
      <c r="L15" t="s">
        <v>60</v>
      </c>
      <c r="M15" s="3"/>
      <c r="N15" s="8" t="s">
        <v>105</v>
      </c>
      <c r="O15" t="s">
        <v>93</v>
      </c>
      <c r="P15" t="s">
        <v>94</v>
      </c>
      <c r="Q15" t="s">
        <v>100</v>
      </c>
    </row>
    <row r="16" spans="1:17" x14ac:dyDescent="0.3">
      <c r="A16" s="7" t="str">
        <f t="shared" si="0"/>
        <v>2025_10_01</v>
      </c>
      <c r="B16">
        <v>10</v>
      </c>
      <c r="C16">
        <v>1</v>
      </c>
      <c r="D16" t="s">
        <v>61</v>
      </c>
      <c r="E16">
        <v>2025</v>
      </c>
      <c r="F16" t="s">
        <v>62</v>
      </c>
      <c r="G16" t="s">
        <v>63</v>
      </c>
      <c r="H16" s="7" t="str">
        <f t="shared" si="1"/>
        <v>42.4132913</v>
      </c>
      <c r="I16" s="7">
        <f t="shared" si="2"/>
        <v>-0.1197907</v>
      </c>
      <c r="J16" t="s">
        <v>85</v>
      </c>
      <c r="K16">
        <v>25</v>
      </c>
      <c r="L16" s="3" t="s">
        <v>64</v>
      </c>
      <c r="M16" s="3" t="s">
        <v>65</v>
      </c>
      <c r="N16" s="8" t="s">
        <v>102</v>
      </c>
      <c r="O16" t="s">
        <v>93</v>
      </c>
      <c r="P16" t="s">
        <v>94</v>
      </c>
      <c r="Q16" t="s">
        <v>100</v>
      </c>
    </row>
    <row r="17" spans="1:17" x14ac:dyDescent="0.3">
      <c r="A17" s="7" t="str">
        <f t="shared" si="0"/>
        <v>2025_11_01</v>
      </c>
      <c r="B17">
        <v>11</v>
      </c>
      <c r="C17">
        <v>1</v>
      </c>
      <c r="D17" t="s">
        <v>66</v>
      </c>
      <c r="E17">
        <v>2025</v>
      </c>
      <c r="F17" t="s">
        <v>67</v>
      </c>
      <c r="G17" t="s">
        <v>68</v>
      </c>
      <c r="H17" s="7" t="str">
        <f t="shared" si="1"/>
        <v>42.6181914</v>
      </c>
      <c r="I17" s="7">
        <f t="shared" si="2"/>
        <v>-0.1718335</v>
      </c>
      <c r="J17" t="s">
        <v>86</v>
      </c>
      <c r="K17">
        <v>25</v>
      </c>
      <c r="L17" s="3" t="s">
        <v>69</v>
      </c>
      <c r="M17" s="3" t="s">
        <v>70</v>
      </c>
      <c r="N17" s="8" t="s">
        <v>102</v>
      </c>
      <c r="O17" t="s">
        <v>93</v>
      </c>
      <c r="P17" t="s">
        <v>94</v>
      </c>
      <c r="Q17" t="s">
        <v>95</v>
      </c>
    </row>
    <row r="18" spans="1:17" x14ac:dyDescent="0.3">
      <c r="A18" s="7" t="str">
        <f t="shared" si="0"/>
        <v>2025_11_01</v>
      </c>
      <c r="B18">
        <v>11</v>
      </c>
      <c r="C18">
        <v>1</v>
      </c>
      <c r="D18" t="s">
        <v>66</v>
      </c>
      <c r="E18">
        <v>2025</v>
      </c>
      <c r="F18" t="s">
        <v>71</v>
      </c>
      <c r="G18" t="s">
        <v>68</v>
      </c>
      <c r="H18" s="7" t="str">
        <f t="shared" si="1"/>
        <v>42.6181914</v>
      </c>
      <c r="I18" s="7">
        <f t="shared" si="2"/>
        <v>-0.1718335</v>
      </c>
      <c r="J18" t="s">
        <v>86</v>
      </c>
      <c r="K18">
        <v>25</v>
      </c>
      <c r="L18" s="3" t="s">
        <v>72</v>
      </c>
      <c r="M18" s="3" t="s">
        <v>73</v>
      </c>
      <c r="N18" s="8" t="s">
        <v>102</v>
      </c>
      <c r="O18" t="s">
        <v>93</v>
      </c>
      <c r="P18" t="s">
        <v>94</v>
      </c>
      <c r="Q18" t="s">
        <v>95</v>
      </c>
    </row>
  </sheetData>
  <hyperlinks>
    <hyperlink ref="M2" r:id="rId1" xr:uid="{9AC02886-774E-4C77-9DA2-6B557273A569}"/>
    <hyperlink ref="M3" r:id="rId2" xr:uid="{2E8E1893-4FFD-42E3-BDD5-1673A13313C0}"/>
    <hyperlink ref="M4" r:id="rId3" xr:uid="{99F51896-8775-4DE0-A236-EFEA1E9DA4BF}"/>
    <hyperlink ref="M6" r:id="rId4" xr:uid="{B9076965-CEFD-408C-BF63-34BBE628AEE0}"/>
    <hyperlink ref="M8" r:id="rId5" xr:uid="{584A6DDB-921A-47DF-8256-2D8B45E48A50}"/>
    <hyperlink ref="M9" r:id="rId6" xr:uid="{FC8F0361-2AE1-4C9B-96CE-6FA784A9DB32}"/>
    <hyperlink ref="M10" r:id="rId7" xr:uid="{D47FCF70-B5D7-44CC-BA48-AD6BCCC7007E}"/>
    <hyperlink ref="M12" r:id="rId8" xr:uid="{0A53820D-3F65-4915-B508-A580318FF597}"/>
    <hyperlink ref="M14" r:id="rId9" xr:uid="{B372BA5A-2654-43B7-B327-3591F4EA2184}"/>
    <hyperlink ref="M11" r:id="rId10" xr:uid="{2669FAED-1298-484F-8DCC-C5AC7E019A04}"/>
    <hyperlink ref="L12" r:id="rId11" tooltip="Protegido por Outlook: https://es.wikiloc.com/rutas-alpinismo/culfreda-nw-3-034-m-desde-viados-139737580. Haga clic o pulse para seguir el vínculo." display="https://emea01.safelinks.protection.outlook.com/?url=https%3A%2F%2Fes.wikiloc.com%2Frutas-alpinismo%2Fculfreda-nw-3-034-m-desde-viados-139737580&amp;data=05%7C02%7C%7Cb20eecc1066a4b87717608ddc8845fea%7C84df9e7fe9f640afb435aaaaaaaaaaaa%7C1%7C0%7C638887193042564521%7CUnknown%7CTWFpbGZsb3d8eyJFbXB0eU1hcGkiOnRydWUsIlYiOiIwLjAuMDAwMCIsIlAiOiJXaW4zMiIsIkFOIjoiTWFpbCIsIldUIjoyfQ%3D%3D%7C0%7C%7C%7C&amp;sdata=wXWZXnS5hj50rZDK1h%2BGTyrj4D%2BSYG0vvOP6DpumohQ%3D&amp;reserved=0" xr:uid="{96FD9AD7-EE34-4574-A5F1-1C516E913D83}"/>
    <hyperlink ref="L11" r:id="rId12" tooltip="Protegido por Outlook: https://gl.wikiloc.com/rutas-sendeirismo/panticosa-dedo-de-yenefrito-pr-hu-95-pista-del-verde-cascada-de-forronias-panticosa-133316057. Haga clic o pulse para seguir el vínculo." display="https://emea01.safelinks.protection.outlook.com/?url=https%3A%2F%2Fgl.wikiloc.com%2Frutas-sendeirismo%2Fpanticosa-dedo-de-yenefrito-pr-hu-95-pista-del-verde-cascada-de-forronias-panticosa-133316057&amp;data=05%7C02%7C%7C261c33e13c80414565ea08ddbf15e7e6%7C84df9e7fe9f640afb435aaaaaaaaaaaa%7C1%7C0%7C638876822981940343%7CUnknown%7CTWFpbGZsb3d8eyJFbXB0eU1hcGkiOnRydWUsIlYiOiIwLjAuMDAwMCIsIlAiOiJXaW4zMiIsIkFOIjoiTWFpbCIsIldUIjoyfQ%3D%3D%7C0%7C%7C%7C&amp;sdata=sMYi3bhitLD9VZAX7iuwWK6geRpa4sn8iVrlLZSe5E0%3D&amp;reserved=0" xr:uid="{2A9B9F1C-B7AC-4C68-B505-EDA1FC670A9D}"/>
    <hyperlink ref="L9" r:id="rId13" tooltip="Protegido por Outlook: https://es.wikiloc.com/rutas-senderismo/circular-sierra-del-moncayo-santuario-moncayo-collado-bellido-santuario-gr-86-y-gr-90-1-14260797. Haga clic o pulse para seguir el vínculo." display="https://emea01.safelinks.protection.outlook.com/?url=https%3A%2F%2Fes.wikiloc.com%2Frutas-senderismo%2Fcircular-sierra-del-moncayo-santuario-moncayo-collado-bellido-santuario-gr-86-y-gr-90-1-14260797&amp;data=05%7C02%7C%7C8977aa541b6a4ab85ad208dd9c87bbbf%7C84df9e7fe9f640afb435aaaaaaaaaaaa%7C1%7C0%7C638838828958706113%7CUnknown%7CTWFpbGZsb3d8eyJFbXB0eU1hcGkiOnRydWUsIlYiOiIwLjAuMDAwMCIsIlAiOiJXaW4zMiIsIkFOIjoiTWFpbCIsIldUIjoyfQ%3D%3D%7C0%7C%7C%7C&amp;sdata=WNuK7zYvXpe73hqtRANct2Qwxzcy8aUNn7WQKQWvWsE%3D&amp;reserved=0" xr:uid="{6842CE03-4CE1-4637-8249-F0C339332CF8}"/>
    <hyperlink ref="L8" r:id="rId14" tooltip="Protegido por Outlook: https://es.wikiloc.com/rutas-senderismo/camino-natural-de-castejon-de-monegros-recorrido-ciruclar-212517293. Haga clic o pulse para seguir el vínculo." display="https://emea01.safelinks.protection.outlook.com/?url=https%3A%2F%2Fes.wikiloc.com%2Frutas-senderismo%2Fcamino-natural-de-castejon-de-monegros-recorrido-ciruclar-212517293&amp;data=05%7C02%7C%7Cbe2809980ae34569333408dd8f2962cb%7C84df9e7fe9f640afb435aaaaaaaaaaaa%7C1%7C0%7C638824130090556107%7CUnknown%7CTWFpbGZsb3d8eyJFbXB0eU1hcGkiOnRydWUsIlYiOiIwLjAuMDAwMCIsIlAiOiJXaW4zMiIsIkFOIjoiTWFpbCIsIldUIjoyfQ%3D%3D%7C0%7C%7C%7C&amp;sdata=eRpxfkjHv5f2Z3qL6onvNFm5ZKvRh9%2FsXEbkSkKIAx0%3D&amp;reserved=0" xr:uid="{FED1D55A-58F4-4E18-AFFC-E7CA71B7D73C}"/>
    <hyperlink ref="L6" r:id="rId15" tooltip="Protegido por Outlook: https://ca.wikiloc.com/rutes-senderisme/una-las-catedrales-la-raya-el-escaleron-una-cuenca-97389511?utm_medium=app&amp;utm_campaign=share&amp;utm_source=1919134. Haga clic o pulse para seguir el vínculo." display="https://emea01.safelinks.protection.outlook.com/?url=https%3A%2F%2Fca.wikiloc.com%2Frutes-senderisme%2Funa-las-catedrales-la-raya-el-escaleron-una-cuenca-97389511%3Futm_medium%3Dapp%26utm_campaign%3Dshare%26utm_source%3D1919134&amp;data=05%7C02%7C%7C2ea8c470290c485c6ec208dd67e8f9a7%7C84df9e7fe9f640afb435aaaaaaaaaaaa%7C1%7C0%7C638780972554775830%7CUnknown%7CTWFpbGZsb3d8eyJFbXB0eU1hcGkiOnRydWUsIlYiOiIwLjAuMDAwMCIsIlAiOiJXaW4zMiIsIkFOIjoiTWFpbCIsIldUIjoyfQ%3D%3D%7C0%7C%7C%7C&amp;sdata=80ZbRunXqt%2BHqoumOSC1X0GHWXqjwhm3kYQ8gmNAyvo%3D&amp;reserved=0" xr:uid="{1445D364-C6EF-4E5B-A613-4946A311F8A1}"/>
    <hyperlink ref="L7" r:id="rId16" xr:uid="{4CC50D5F-9002-450F-9B5E-9FBF6BE73D85}"/>
    <hyperlink ref="L4" r:id="rId17" tooltip="Protegido por Outlook: https://es.wikiloc.com/rutas-mountain-bike/deltebre-sant-jaume-denveja-la-punta-de-la-banya-eucaliptus-els-muntells-sant-jaume-denveja-deltebr-28036377. Haga clic o pulse para seguir el vínculo." display="https://emea01.safelinks.protection.outlook.com/?url=https%3A%2F%2Fes.wikiloc.com%2Frutas-mountain-bike%2Fdeltebre-sant-jaume-denveja-la-punta-de-la-banya-eucaliptus-els-muntells-sant-jaume-denveja-deltebr-28036377&amp;data=05%7C02%7C%7C0c9d51e79bd94254b89e08dd50562c9b%7C84df9e7fe9f640afb435aaaaaaaaaaaa%7C1%7C0%7C638755053227665270%7CUnknown%7CTWFpbGZsb3d8eyJFbXB0eU1hcGkiOnRydWUsIlYiOiIwLjAuMDAwMCIsIlAiOiJXaW4zMiIsIkFOIjoiTWFpbCIsIldUIjoyfQ%3D%3D%7C0%7C%7C%7C&amp;sdata=F5CEoFOOrpgVsWMD4CEocl%2F7iCHVRJGHB2mfIk9HeOQ%3D&amp;reserved=0" xr:uid="{250C413C-9DAE-406A-9F3F-244A39ED904F}"/>
    <hyperlink ref="L5" r:id="rId18" tooltip="Protegido por Outlook: https://ca.wikiloc.com/rutes-cicloturisme/02-pnde-b-ecomuseu-desembocadura-163742410. Haga clic o pulse para seguir el vínculo." display="https://emea01.safelinks.protection.outlook.com/?url=https%3A%2F%2Fca.wikiloc.com%2Frutes-cicloturisme%2F02-pnde-b-ecomuseu-desembocadura-163742410&amp;data=05%7C02%7C%7C0c9d51e79bd94254b89e08dd50562c9b%7C84df9e7fe9f640afb435aaaaaaaaaaaa%7C1%7C0%7C638755053227696447%7CUnknown%7CTWFpbGZsb3d8eyJFbXB0eU1hcGkiOnRydWUsIlYiOiIwLjAuMDAwMCIsIlAiOiJXaW4zMiIsIkFOIjoiTWFpbCIsIldUIjoyfQ%3D%3D%7C0%7C%7C%7C&amp;sdata=dmjUv0WMgHQRDqgykFhMPh0BMDkGIdSHNOO7nMIb%2F%2Fo%3D&amp;reserved=0" xr:uid="{AE365201-ED5D-4048-9F7B-A58E7B2486CB}"/>
    <hyperlink ref="M17" r:id="rId19" xr:uid="{33E159F8-F13B-402B-9C1D-A1E528618695}"/>
    <hyperlink ref="M18" r:id="rId20" xr:uid="{543FF5F4-329A-42EF-A1C5-7140BB4B2693}"/>
    <hyperlink ref="M16" r:id="rId21" xr:uid="{93E172A1-5958-4082-A63A-9B66A08016E9}"/>
    <hyperlink ref="L18" r:id="rId22" tooltip="Protegido por Outlook: https://loc.wiki/t/11281634?h=6lpn4ldaz8&amp;wa=sd&amp;la=es. Haga clic o pulse para seguir el vínculo." display="https://emea01.safelinks.protection.outlook.com/?url=https%3A%2F%2Floc.wiki%2Ft%2F11281634%3Fh%3D6lpn4ldaz8%26wa%3Dsd%26la%3Des&amp;data=05%7C02%7C%7C03067d25e0354a894be408de1be19080%7C84df9e7fe9f640afb435aaaaaaaaaaaa%7C1%7C0%7C638978852756375713%7CUnknown%7CTWFpbGZsb3d8eyJFbXB0eU1hcGkiOnRydWUsIlYiOiIwLjAuMDAwMCIsIlAiOiJXaW4zMiIsIkFOIjoiTWFpbCIsIldUIjoyfQ%3D%3D%7C0%7C%7C%7C&amp;sdata=3SoTy0wBnXLCh03RQ6NJ3dAto2Z6Pg5m9lmQNi5F8io%3D&amp;reserved=0" xr:uid="{D11A0240-3B60-435E-BD9E-44DD83892B48}"/>
    <hyperlink ref="L17" r:id="rId23" tooltip="Protegido por Outlook: https://loc.wiki/t/218694610?h=6lpn4ldaz8&amp;wa=sd&amp;la=es. Haga clic o pulse para seguir el vínculo." display="https://emea01.safelinks.protection.outlook.com/?url=https%3A%2F%2Floc.wiki%2Ft%2F218694610%3Fh%3D6lpn4ldaz8%26wa%3Dsd%26la%3Des&amp;data=05%7C02%7C%7C03067d25e0354a894be408de1be19080%7C84df9e7fe9f640afb435aaaaaaaaaaaa%7C1%7C0%7C638978852756353738%7CUnknown%7CTWFpbGZsb3d8eyJFbXB0eU1hcGkiOnRydWUsIlYiOiIwLjAuMDAwMCIsIlAiOiJXaW4zMiIsIkFOIjoiTWFpbCIsIldUIjoyfQ%3D%3D%7C0%7C%7C%7C&amp;sdata=oOMgvoJFAzEWyEXicRgzwhrCWV0VjWsMp4B9JdjqcMQ%3D&amp;reserved=0" xr:uid="{E57FB2C2-F0BF-4B9F-A1DB-ABFE1558B107}"/>
    <hyperlink ref="L16" r:id="rId24" tooltip="Protegido por Outlook: https://loc.wiki/t/2334169?h=6lpn4ldaz8&amp;wa=sd&amp;la=es. Haga clic o pulse para seguir el vínculo." display="https://emea01.safelinks.protection.outlook.com/?url=https%3A%2F%2Floc.wiki%2Ft%2F2334169%3Fh%3D6lpn4ldaz8%26wa%3Dsd%26la%3Des&amp;data=05%7C02%7C%7Cb37717b8a38c49aea2f908de05d6895d%7C84df9e7fe9f640afb435aaaaaaaaaaaa%7C1%7C0%7C638954616171400441%7CUnknown%7CTWFpbGZsb3d8eyJFbXB0eU1hcGkiOnRydWUsIlYiOiIwLjAuMDAwMCIsIlAiOiJXaW4zMiIsIkFOIjoiTWFpbCIsIldUIjoyfQ%3D%3D%7C0%7C%7C%7C&amp;sdata=cvkDFHACyZe1UlMsFBgWsFDJ8eyfg8YxfWgxthp1i2k%3D&amp;reserved=0" xr:uid="{6790426C-1CB1-4110-ABA0-4CB89A752A1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joseluis padilla</dc:creator>
  <cp:lastModifiedBy>joseluis padilla</cp:lastModifiedBy>
  <dcterms:created xsi:type="dcterms:W3CDTF">2026-07-05T15:49:43Z</dcterms:created>
  <dcterms:modified xsi:type="dcterms:W3CDTF">2026-07-05T18:50:11Z</dcterms:modified>
</cp:coreProperties>
</file>