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\Documents\elaios_mapa\proyecto_mapa_excursiones\mapa_elaios\datos\"/>
    </mc:Choice>
  </mc:AlternateContent>
  <xr:revisionPtr revIDLastSave="0" documentId="13_ncr:1_{6325DBF7-DC96-42B8-AE96-A9FF2DC3D528}" xr6:coauthVersionLast="47" xr6:coauthVersionMax="47" xr10:uidLastSave="{00000000-0000-0000-0000-000000000000}"/>
  <bookViews>
    <workbookView xWindow="28680" yWindow="-120" windowWidth="29040" windowHeight="15720" xr2:uid="{C3071397-29EF-4FE4-BFF9-584C2604D779}"/>
  </bookViews>
  <sheets>
    <sheet name="Hoja1" sheetId="1" r:id="rId1"/>
  </sheets>
  <definedNames>
    <definedName name="_xlnm._FilterDatabase" localSheetId="0" hidden="1">Hoja1!$A$1:$R$250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17" i="1" l="1"/>
  <c r="J217" i="1"/>
  <c r="I218" i="1"/>
  <c r="J218" i="1"/>
  <c r="I219" i="1"/>
  <c r="J219" i="1"/>
  <c r="I220" i="1"/>
  <c r="J220" i="1"/>
  <c r="I222" i="1"/>
  <c r="J222" i="1"/>
  <c r="I221" i="1"/>
  <c r="J221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A75" i="1"/>
  <c r="I76" i="1"/>
  <c r="J76" i="1"/>
  <c r="I75" i="1"/>
  <c r="J75" i="1"/>
  <c r="A76" i="1"/>
  <c r="A69" i="1"/>
  <c r="I67" i="1"/>
  <c r="J67" i="1"/>
  <c r="A67" i="1"/>
  <c r="I65" i="1"/>
  <c r="J65" i="1"/>
  <c r="A65" i="1"/>
  <c r="I62" i="1"/>
  <c r="J62" i="1"/>
  <c r="A62" i="1"/>
  <c r="I60" i="1"/>
  <c r="J60" i="1"/>
  <c r="A60" i="1"/>
  <c r="I57" i="1"/>
  <c r="J57" i="1"/>
  <c r="A57" i="1"/>
  <c r="A55" i="1"/>
  <c r="I55" i="1"/>
  <c r="J55" i="1"/>
  <c r="I53" i="1"/>
  <c r="J53" i="1"/>
  <c r="I50" i="1"/>
  <c r="J50" i="1"/>
  <c r="A50" i="1"/>
  <c r="I48" i="1"/>
  <c r="J48" i="1"/>
  <c r="A48" i="1"/>
  <c r="I46" i="1"/>
  <c r="J46" i="1"/>
  <c r="A46" i="1"/>
  <c r="I44" i="1"/>
  <c r="J44" i="1"/>
  <c r="A44" i="1"/>
  <c r="I32" i="1"/>
  <c r="J32" i="1"/>
  <c r="A32" i="1"/>
  <c r="I29" i="1"/>
  <c r="J29" i="1"/>
  <c r="A29" i="1"/>
  <c r="A26" i="1"/>
  <c r="I24" i="1"/>
  <c r="J24" i="1"/>
  <c r="A24" i="1"/>
  <c r="I22" i="1"/>
  <c r="J22" i="1"/>
  <c r="A22" i="1"/>
  <c r="I216" i="1"/>
  <c r="J216" i="1"/>
  <c r="I215" i="1"/>
  <c r="J215" i="1"/>
  <c r="I214" i="1"/>
  <c r="J214" i="1"/>
  <c r="I213" i="1"/>
  <c r="J213" i="1"/>
  <c r="I212" i="1"/>
  <c r="J212" i="1"/>
  <c r="I211" i="1"/>
  <c r="J211" i="1"/>
  <c r="I210" i="1"/>
  <c r="J210" i="1"/>
  <c r="I209" i="1"/>
  <c r="J209" i="1"/>
  <c r="I208" i="1"/>
  <c r="J208" i="1"/>
  <c r="I207" i="1"/>
  <c r="J207" i="1"/>
  <c r="I206" i="1"/>
  <c r="J206" i="1"/>
  <c r="I205" i="1"/>
  <c r="J205" i="1"/>
  <c r="I204" i="1"/>
  <c r="J204" i="1"/>
  <c r="I203" i="1"/>
  <c r="J203" i="1"/>
  <c r="I202" i="1"/>
  <c r="J202" i="1"/>
  <c r="I201" i="1"/>
  <c r="J201" i="1"/>
  <c r="I200" i="1"/>
  <c r="J200" i="1"/>
  <c r="I199" i="1"/>
  <c r="J199" i="1"/>
  <c r="I198" i="1"/>
  <c r="J198" i="1"/>
  <c r="I197" i="1"/>
  <c r="J197" i="1"/>
  <c r="I196" i="1"/>
  <c r="J196" i="1"/>
  <c r="I195" i="1"/>
  <c r="J195" i="1"/>
  <c r="I194" i="1"/>
  <c r="J194" i="1"/>
  <c r="I193" i="1"/>
  <c r="J193" i="1"/>
  <c r="I192" i="1"/>
  <c r="J192" i="1"/>
  <c r="I191" i="1"/>
  <c r="J191" i="1"/>
  <c r="I190" i="1"/>
  <c r="J190" i="1"/>
  <c r="I189" i="1"/>
  <c r="J189" i="1"/>
  <c r="I188" i="1"/>
  <c r="J188" i="1"/>
  <c r="I187" i="1"/>
  <c r="J187" i="1"/>
  <c r="I186" i="1"/>
  <c r="J186" i="1"/>
  <c r="I185" i="1"/>
  <c r="J185" i="1"/>
  <c r="I184" i="1"/>
  <c r="J184" i="1"/>
  <c r="I183" i="1"/>
  <c r="J183" i="1"/>
  <c r="I181" i="1"/>
  <c r="J181" i="1"/>
  <c r="I182" i="1"/>
  <c r="J182" i="1"/>
  <c r="I180" i="1"/>
  <c r="J180" i="1"/>
  <c r="I179" i="1"/>
  <c r="J179" i="1"/>
  <c r="I178" i="1"/>
  <c r="J178" i="1"/>
  <c r="I177" i="1"/>
  <c r="J177" i="1"/>
  <c r="I176" i="1"/>
  <c r="J176" i="1"/>
  <c r="I175" i="1"/>
  <c r="J175" i="1"/>
  <c r="I174" i="1"/>
  <c r="J174" i="1"/>
  <c r="I173" i="1"/>
  <c r="J173" i="1"/>
  <c r="I172" i="1"/>
  <c r="J172" i="1"/>
  <c r="I171" i="1"/>
  <c r="J171" i="1"/>
  <c r="I170" i="1"/>
  <c r="J170" i="1"/>
  <c r="I169" i="1"/>
  <c r="J169" i="1"/>
  <c r="I168" i="1"/>
  <c r="J168" i="1"/>
  <c r="I167" i="1"/>
  <c r="J167" i="1"/>
  <c r="I166" i="1"/>
  <c r="J166" i="1"/>
  <c r="I165" i="1"/>
  <c r="J165" i="1"/>
  <c r="I164" i="1"/>
  <c r="J164" i="1"/>
  <c r="I163" i="1"/>
  <c r="J163" i="1"/>
  <c r="I162" i="1"/>
  <c r="J162" i="1"/>
  <c r="I161" i="1"/>
  <c r="J161" i="1"/>
  <c r="I160" i="1"/>
  <c r="J160" i="1"/>
  <c r="I159" i="1"/>
  <c r="J159" i="1"/>
  <c r="I158" i="1"/>
  <c r="J158" i="1"/>
  <c r="I157" i="1"/>
  <c r="J157" i="1"/>
  <c r="I156" i="1"/>
  <c r="J156" i="1"/>
  <c r="I155" i="1"/>
  <c r="J155" i="1"/>
  <c r="I154" i="1"/>
  <c r="J154" i="1"/>
  <c r="I153" i="1"/>
  <c r="J153" i="1"/>
  <c r="I152" i="1"/>
  <c r="J152" i="1"/>
  <c r="I151" i="1"/>
  <c r="J151" i="1"/>
  <c r="I149" i="1"/>
  <c r="J149" i="1"/>
  <c r="I150" i="1"/>
  <c r="J150" i="1"/>
  <c r="I148" i="1"/>
  <c r="J148" i="1"/>
  <c r="I147" i="1"/>
  <c r="J147" i="1"/>
  <c r="I146" i="1"/>
  <c r="J146" i="1"/>
  <c r="I145" i="1"/>
  <c r="J145" i="1"/>
  <c r="I144" i="1"/>
  <c r="J144" i="1"/>
  <c r="I143" i="1"/>
  <c r="J143" i="1"/>
  <c r="I142" i="1"/>
  <c r="J142" i="1"/>
  <c r="I140" i="1"/>
  <c r="J140" i="1"/>
  <c r="I141" i="1"/>
  <c r="J141" i="1"/>
  <c r="I139" i="1"/>
  <c r="J139" i="1"/>
  <c r="I138" i="1"/>
  <c r="J138" i="1"/>
  <c r="I137" i="1"/>
  <c r="J137" i="1"/>
  <c r="I136" i="1"/>
  <c r="J136" i="1"/>
  <c r="I135" i="1"/>
  <c r="J135" i="1"/>
  <c r="I134" i="1"/>
  <c r="J134" i="1"/>
  <c r="I133" i="1"/>
  <c r="J133" i="1"/>
  <c r="I131" i="1"/>
  <c r="J131" i="1"/>
  <c r="I132" i="1"/>
  <c r="J132" i="1"/>
  <c r="I130" i="1"/>
  <c r="J130" i="1"/>
  <c r="I129" i="1"/>
  <c r="J129" i="1"/>
  <c r="I128" i="1"/>
  <c r="J128" i="1"/>
  <c r="I127" i="1"/>
  <c r="J127" i="1"/>
  <c r="I126" i="1"/>
  <c r="J126" i="1"/>
  <c r="I125" i="1"/>
  <c r="J125" i="1"/>
  <c r="I123" i="1"/>
  <c r="J123" i="1"/>
  <c r="I124" i="1"/>
  <c r="J124" i="1"/>
  <c r="I122" i="1"/>
  <c r="J122" i="1"/>
  <c r="I121" i="1"/>
  <c r="J121" i="1"/>
  <c r="I120" i="1"/>
  <c r="J120" i="1"/>
  <c r="I119" i="1"/>
  <c r="J119" i="1"/>
  <c r="I118" i="1"/>
  <c r="J118" i="1"/>
  <c r="I116" i="1"/>
  <c r="J116" i="1"/>
  <c r="I117" i="1"/>
  <c r="J117" i="1"/>
  <c r="I115" i="1"/>
  <c r="J115" i="1"/>
  <c r="I114" i="1"/>
  <c r="J114" i="1"/>
  <c r="I113" i="1"/>
  <c r="J113" i="1"/>
  <c r="I112" i="1"/>
  <c r="J112" i="1"/>
  <c r="I111" i="1"/>
  <c r="J111" i="1"/>
  <c r="I110" i="1"/>
  <c r="J110" i="1"/>
  <c r="I109" i="1"/>
  <c r="J109" i="1"/>
  <c r="I108" i="1"/>
  <c r="J108" i="1"/>
  <c r="I107" i="1"/>
  <c r="J107" i="1"/>
  <c r="I106" i="1"/>
  <c r="J106" i="1"/>
  <c r="I104" i="1"/>
  <c r="J104" i="1"/>
  <c r="I105" i="1"/>
  <c r="J105" i="1"/>
  <c r="I103" i="1"/>
  <c r="J103" i="1"/>
  <c r="I102" i="1"/>
  <c r="J102" i="1"/>
  <c r="I101" i="1"/>
  <c r="J101" i="1"/>
  <c r="I100" i="1"/>
  <c r="J100" i="1"/>
  <c r="I99" i="1"/>
  <c r="J99" i="1"/>
  <c r="I98" i="1"/>
  <c r="J98" i="1"/>
  <c r="I97" i="1"/>
  <c r="J97" i="1"/>
  <c r="I96" i="1"/>
  <c r="J96" i="1"/>
  <c r="I94" i="1"/>
  <c r="J94" i="1"/>
  <c r="I95" i="1"/>
  <c r="J95" i="1"/>
  <c r="I93" i="1"/>
  <c r="J93" i="1"/>
  <c r="I92" i="1"/>
  <c r="J92" i="1"/>
  <c r="I91" i="1"/>
  <c r="J91" i="1"/>
  <c r="I90" i="1"/>
  <c r="J90" i="1"/>
  <c r="I89" i="1"/>
  <c r="J89" i="1"/>
  <c r="I88" i="1"/>
  <c r="J88" i="1"/>
  <c r="I87" i="1"/>
  <c r="J87" i="1"/>
  <c r="I86" i="1"/>
  <c r="J86" i="1"/>
  <c r="I85" i="1"/>
  <c r="J85" i="1"/>
  <c r="I84" i="1"/>
  <c r="J84" i="1"/>
  <c r="I83" i="1"/>
  <c r="J83" i="1"/>
  <c r="I82" i="1"/>
  <c r="J82" i="1"/>
  <c r="I81" i="1"/>
  <c r="J81" i="1"/>
  <c r="I80" i="1"/>
  <c r="J80" i="1"/>
  <c r="I79" i="1"/>
  <c r="J79" i="1"/>
  <c r="I78" i="1"/>
  <c r="J78" i="1"/>
  <c r="I77" i="1"/>
  <c r="J77" i="1"/>
  <c r="I74" i="1"/>
  <c r="J74" i="1"/>
  <c r="I73" i="1"/>
  <c r="J73" i="1"/>
  <c r="I72" i="1"/>
  <c r="J72" i="1"/>
  <c r="I71" i="1"/>
  <c r="J71" i="1"/>
  <c r="I70" i="1"/>
  <c r="J70" i="1"/>
  <c r="I69" i="1"/>
  <c r="J69" i="1"/>
  <c r="I68" i="1"/>
  <c r="J68" i="1"/>
  <c r="I66" i="1"/>
  <c r="J66" i="1"/>
  <c r="I64" i="1"/>
  <c r="J64" i="1"/>
  <c r="I63" i="1"/>
  <c r="J63" i="1"/>
  <c r="I61" i="1"/>
  <c r="J61" i="1"/>
  <c r="I59" i="1"/>
  <c r="J59" i="1"/>
  <c r="I58" i="1"/>
  <c r="J58" i="1"/>
  <c r="I56" i="1"/>
  <c r="J56" i="1"/>
  <c r="I54" i="1"/>
  <c r="J54" i="1"/>
  <c r="I52" i="1"/>
  <c r="J52" i="1"/>
  <c r="I51" i="1"/>
  <c r="J51" i="1"/>
  <c r="I49" i="1"/>
  <c r="J49" i="1"/>
  <c r="I47" i="1"/>
  <c r="J47" i="1"/>
  <c r="I45" i="1"/>
  <c r="J45" i="1"/>
  <c r="I43" i="1"/>
  <c r="J43" i="1"/>
  <c r="I42" i="1"/>
  <c r="J42" i="1"/>
  <c r="I41" i="1"/>
  <c r="J41" i="1"/>
  <c r="I40" i="1"/>
  <c r="J40" i="1"/>
  <c r="I39" i="1"/>
  <c r="J39" i="1"/>
  <c r="I38" i="1"/>
  <c r="J38" i="1"/>
  <c r="I37" i="1"/>
  <c r="J37" i="1"/>
  <c r="I36" i="1"/>
  <c r="J36" i="1"/>
  <c r="I35" i="1"/>
  <c r="J35" i="1"/>
  <c r="I34" i="1"/>
  <c r="J34" i="1"/>
  <c r="I33" i="1"/>
  <c r="J33" i="1"/>
  <c r="I31" i="1"/>
  <c r="J31" i="1"/>
  <c r="I30" i="1"/>
  <c r="J30" i="1"/>
  <c r="I28" i="1"/>
  <c r="J28" i="1"/>
  <c r="I27" i="1"/>
  <c r="J27" i="1"/>
  <c r="I26" i="1"/>
  <c r="J26" i="1"/>
  <c r="I25" i="1"/>
  <c r="J25" i="1"/>
  <c r="I23" i="1"/>
  <c r="J23" i="1"/>
  <c r="I21" i="1"/>
  <c r="J21" i="1"/>
  <c r="I20" i="1"/>
  <c r="J20" i="1"/>
  <c r="A77" i="1"/>
  <c r="A74" i="1"/>
  <c r="A73" i="1"/>
  <c r="A72" i="1"/>
  <c r="A71" i="1"/>
  <c r="A70" i="1"/>
  <c r="A68" i="1"/>
  <c r="A66" i="1"/>
  <c r="A64" i="1"/>
  <c r="A63" i="1"/>
  <c r="A61" i="1"/>
  <c r="A59" i="1"/>
  <c r="A58" i="1"/>
  <c r="A56" i="1"/>
  <c r="A54" i="1"/>
  <c r="A53" i="1"/>
  <c r="A52" i="1"/>
  <c r="A51" i="1"/>
  <c r="A49" i="1"/>
  <c r="A47" i="1"/>
  <c r="A45" i="1"/>
  <c r="A43" i="1"/>
  <c r="A42" i="1"/>
  <c r="A41" i="1"/>
  <c r="A40" i="1"/>
  <c r="A39" i="1"/>
  <c r="A38" i="1"/>
  <c r="A37" i="1"/>
  <c r="A36" i="1"/>
  <c r="A35" i="1"/>
  <c r="A34" i="1"/>
  <c r="A33" i="1"/>
  <c r="A31" i="1"/>
  <c r="A30" i="1"/>
  <c r="A28" i="1"/>
  <c r="A27" i="1"/>
  <c r="A25" i="1"/>
  <c r="A23" i="1"/>
  <c r="A21" i="1"/>
  <c r="A20" i="1"/>
  <c r="I2" i="1"/>
  <c r="J2" i="1"/>
  <c r="A2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19" i="1"/>
</calcChain>
</file>

<file path=xl/sharedStrings.xml><?xml version="1.0" encoding="utf-8"?>
<sst xmlns="http://schemas.openxmlformats.org/spreadsheetml/2006/main" count="2973" uniqueCount="1039">
  <si>
    <t>mes_numerico</t>
  </si>
  <si>
    <t>Mes</t>
  </si>
  <si>
    <t>Año</t>
  </si>
  <si>
    <t>Excursion</t>
  </si>
  <si>
    <t>Track_confirmado</t>
  </si>
  <si>
    <t>Track_Wikiloc_sugerido</t>
  </si>
  <si>
    <t>Enero</t>
  </si>
  <si>
    <t>Torrollones de la Gabarda</t>
  </si>
  <si>
    <t>Grañen</t>
  </si>
  <si>
    <t>https://es.wikiloc.com/rutas-senderismo/torrollones-de-la-gabarda-circular-37581955</t>
  </si>
  <si>
    <t>Febrero</t>
  </si>
  <si>
    <t xml:space="preserve">Arco de Gratal - Las Calmas </t>
  </si>
  <si>
    <t>Monrepos</t>
  </si>
  <si>
    <t>https://es.wikiloc.com/rutas-senderismo/arguis-arco-de-gratal-por-las-calmas-y-mas-165172877</t>
  </si>
  <si>
    <t>https://es.wikiloc.com/wikiloc/map.do?q=Arco%20de%20Gratal</t>
  </si>
  <si>
    <t>Marzo</t>
  </si>
  <si>
    <t>Deltebre-Sant Jaume d’Enveja-La Punta De La Banya_x0002_Eucaliptus-Els Muntells-Sant Jaume D’Enveja-Deltebre. (Panteres Grogues)</t>
  </si>
  <si>
    <t>Deltebre</t>
  </si>
  <si>
    <t>https://es.wikiloc.com/rutas-mountain-bike/deltebre-sant-jaume-denveja-la-punta-de-la-banya-eucaliptus-els-muntells-sant-jaume-denveja-deltebr-28036377</t>
  </si>
  <si>
    <t>Ecomuseo-Paseo fluvial del Delta-Arrozales-Dunas de Riomar-Balsa del Garxal-Mirador de Zigurat-Barracas tradicionales_x0002_Desembocadura (Panteres Grogues)</t>
  </si>
  <si>
    <t>https://ca.wikiloc.com/rutes-cicloturisme/02-pnde-b-ecomuseu-desembocadura-163742410</t>
  </si>
  <si>
    <t>Abril</t>
  </si>
  <si>
    <t>Uña, Las Catedrales, La Raya, El Escalerón (Dracs)</t>
  </si>
  <si>
    <t>Uña</t>
  </si>
  <si>
    <t>https://ca.wikiloc.com/rutes-senderisme/una-las-catedrales-la-raya-el-escaleron-una-cuenca-97389511?utm_medium=app&amp;utm_campaign=share&amp;utm_source=1919134</t>
  </si>
  <si>
    <t>Nacimiento del río Cuervo y subida a la muela de San Felipe. (Dracs)</t>
  </si>
  <si>
    <t>https://gl.wikiloc.com/rutas-sendeirismo/nacimiento-del-rio-cuervo-y-subida-a-la-muela-de-san-felipe-vuelta-por-mirador-del-cuervo-pr-cu-78-105693158</t>
  </si>
  <si>
    <t>Mayo</t>
  </si>
  <si>
    <t>Camino Natural de Castejón de Monegros</t>
  </si>
  <si>
    <t>Castejon de Monegros</t>
  </si>
  <si>
    <t>https://emea01.safelinks.protection.outlook.com/?url=https%3A%2F%2Fes.wikiloc.com%2Frutas-senderismo%2Fcamino-natural-de-castejon-de-monegros-recorrido-ciruclar-212517293&amp;data=05%7C02%7C%7Cbe2809980ae34569333408dd8f2962cb%7C84df9e7fe9f640afb435aaaaaaaaaaaa%7C1%7C0%7C638824130090556107%7CUnknown%7CTWFpbGZsb3d8eyJFbXB0eU1hcGkiOnRydWUsIlYiOiIwLjAuMDAwMCIsIlAiOiJXaW4zMiIsIkFOIjoiTWFpbCIsIldUIjoyfQ%3D%3D%7C0%7C%7C%7C&amp;sdata=eRpxfkjHv5f2Z3qL6onvNFm5ZKvRh9%2FsXEbkSkKIAx0%3D&amp;reserved=0</t>
  </si>
  <si>
    <t>https://es.wikiloc.com/wikiloc/map.do?q=Castej%C3%B3n%20de%20Monegros</t>
  </si>
  <si>
    <t>Junio</t>
  </si>
  <si>
    <t>Ascensión al Moncayo o pico de San Miguel</t>
  </si>
  <si>
    <t>Santuario</t>
  </si>
  <si>
    <t>https://es.wikiloc.com/rutas-senderismo/circular-sierra-del-moncayo-santuario-moncayo-collado-bellido-santuario-gr-86-y-gr-90-1-14260797</t>
  </si>
  <si>
    <t>Julio</t>
  </si>
  <si>
    <t>Viaje a Escocia</t>
  </si>
  <si>
    <t>Dedo de Yenefrito</t>
  </si>
  <si>
    <t>Panticosa</t>
  </si>
  <si>
    <t>https://gl.wikiloc.com/rutas-sendeirismo/panticosa-dedo-de-yenefrito-pr-hu-95-pista-del-verde-cascada-de-forronias-panticosa-133316057</t>
  </si>
  <si>
    <t>Agosto</t>
  </si>
  <si>
    <t>Pico Culfreda  (Panteres Grogues)</t>
  </si>
  <si>
    <t>Refugio Viados</t>
  </si>
  <si>
    <t>Circular Ref. Viadós – Bordas de Lisier – Espital de Chistén (Panteres Grogues)</t>
  </si>
  <si>
    <t>https://es.wikiloc.com/rutas-senderismo/pista-viados-cruce-viados-bordas-de-licierte-ida-y-vuelta-195520530</t>
  </si>
  <si>
    <t>Octubre</t>
  </si>
  <si>
    <t>Despoblado de Peña (RGP)</t>
  </si>
  <si>
    <t>Aibar</t>
  </si>
  <si>
    <t>https://gl.wikiloc.com/rutas-sendeirismo/ermita-san-zoilocaseda-pena-ermita-san-zoilo-86809531</t>
  </si>
  <si>
    <t>Sierra de Leyre: Paso del Oso y cima del Castellar (RGP)</t>
  </si>
  <si>
    <t>https://gl.wikiloc.com/rutas-sendeirismo/circular-por-la-sierra-de-leyre-12790658</t>
  </si>
  <si>
    <t>octubre</t>
  </si>
  <si>
    <t>Peña Canciás</t>
  </si>
  <si>
    <t>Laguarta</t>
  </si>
  <si>
    <t>https://loc.wiki/t/2334169?h=6lpn4ldaz8&amp;wa=sd&amp;la=es</t>
  </si>
  <si>
    <t>Noviembre</t>
  </si>
  <si>
    <t>Valle de Sorrosal y refugio Planas d'Abozo</t>
  </si>
  <si>
    <t>Linás de Broto</t>
  </si>
  <si>
    <t>https://loc.wiki/t/218694610?h=6lpn4ldaz8&amp;wa=sd&amp;la=es</t>
  </si>
  <si>
    <t>Circular Tozal del Cebollar y Sierra Casa</t>
  </si>
  <si>
    <t>https://loc.wiki/t/11281634?h=6lpn4ldaz8&amp;wa=sd&amp;la=es</t>
  </si>
  <si>
    <t>localizacion mapa(latitud, longitud)</t>
  </si>
  <si>
    <t>https://www.google.com/maps/place/Puerto+de+Monrep%C3%B3s/@42.3283125,-0.4178397,3214m/data=!3m2!1e3!4b1!4m6!3m5!1s0xd583bcea6a4974d:0xf8d106bfa7cc39b0!8m2!3d42.3282976!4d-0.40754!16s%2Fg%2F121sr9ps?authuser=0&amp;entry=ttu&amp;g_ep=EgoyMDI2MDYyOS4wIKXMDSoASAFQAw%3D%3D</t>
  </si>
  <si>
    <t>https://www.google.com/maps/place/22260+Gra%C3%B1%C3%A9n,+Huesca/@41.9422982,-0.3729445,1617m/data=!3m2!1e3!4b1!4m6!3m5!1s0xd585f36e2040557:0x78315d19bfb1484c!8m2!3d41.9395167!4d-0.3695392!16s%2Fm%2F02wck7y?authuser=0&amp;entry=ttu&amp;g_ep=EgoyMDI2MDYyOS4wIKXMDSoASAFQAw%3D%3D</t>
  </si>
  <si>
    <t>https://www.google.com/maps/place/43580+Deltebre,+Tarragona/@40.7198717,0.6951499,6590m/data=!3m2!1e3!4b1!4m6!3m5!1s0x12a105d348572479:0xfb58945ba828fdd6!8m2!3d40.7212388!4d0.7176492!16s%2Fg%2F11cn61scx4?authuser=0&amp;entry=ttu&amp;g_ep=EgoyMDI2MDYyOS4wIKXMDSoASAFQAw%3D%3D</t>
  </si>
  <si>
    <t>https://www.google.com/maps/place/16152+U%C3%B1a,+Cuenca/@40.2232186,-1.9812516,830m/data=!3m2!1e3!4b1!4m10!1m2!2m1!1zdcOxYQ!3m6!1s0xd5d720ccf0bcc13:0x40340f3be4c61f0!8m2!3d40.2234037!4d-1.9768377!15sCgR1w7FhkgEIbG9jYWxpdHngAQA!16s%2Fm%2F02z9ws3?authuser=0&amp;entry=ttu&amp;g_ep=EgoyMDI2MDYyOS4wIKXMDSoASAFQAw%3D%3D</t>
  </si>
  <si>
    <t>https://www.google.com/maps/place/22222+Castej%C3%B3n+de+Monegros,+Huesca/@41.6174377,-0.2445868,1625m/data=!3m2!1e3!4b1!4m6!3m5!1s0xd5895ebc150cd47:0x9eaa1ebc1b223d4e!8m2!3d41.6171493!4d-0.2397116!16s%2Fm%2F02z9nq7?authuser=0&amp;entry=ttu&amp;g_ep=EgoyMDI2MDYyOS4wIKXMDSoASAFQAw%3D%3D</t>
  </si>
  <si>
    <t>https://www.google.com/maps/place/Restaurante+Santuario+del+Moncayo/@41.7904033,-1.8201557,810m/data=!3m2!1e3!4b1!4m6!3m5!1s0xd5bacc83cc2a21f:0x56aee2604d661196!8m2!3d41.7903993!4d-1.8175808!16s%2Fg%2F1tjdhjg6?authuser=0&amp;entry=ttu&amp;g_ep=EgoyMDI2MDYyOS4wIKXMDSoASAFQAw%3D%3D</t>
  </si>
  <si>
    <t>https://www.google.com/maps/place/Panticosa,+Huesca/@42.7427609,-0.3285064,25541m/data=!3m2!1e3!4b1!4m6!3m5!1s0xd57ed4188be1f05:0xb3fcb780e0b1221d!8m2!3d42.7269014!4d-0.2432307!16s%2Fm%2F02z9p7f?authuser=0&amp;entry=ttu&amp;g_ep=EgoyMDI2MDYyOS4wIKXMDSoASAFQAw%3D%3D</t>
  </si>
  <si>
    <t>https://www.google.com/maps/place/Refugio+de+Viad%C3%B3s/@42.660696,0.374645,799m/data=!3m2!1e3!4b1!4m6!3m5!1s0x12a8717daad4ae7d:0xcc729d66691677d7!8m2!3d42.6606921!4d0.3772199!16s%2Fg%2F11b5wmk6m8?authuser=0&amp;entry=ttu&amp;g_ep=EgoyMDI2MDYyOS4wIKXMDSoASAFQAw%3D%3D</t>
  </si>
  <si>
    <t>https://www.google.com/maps/place/31460+Aibar,+Navarra/@42.5926297,-1.3724192,3200m/data=!3m2!1e3!4b1!4m6!3m5!1s0xd50a89cbaf0fd07:0x24de53c99256b10!8m2!3d42.5931438!4d-1.3601865!16s%2Fg%2F11bwdngmw1?authuser=0&amp;entry=ttu&amp;g_ep=EgoyMDI2MDYyOS4wIKXMDSoASAFQAw%3D%3D</t>
  </si>
  <si>
    <t>https://www.google.com/maps/place/22623+Laguarta,+Huesca/@42.4132913,-0.1197907,401m/data=!3m2!1e3!4b1!4m6!3m5!1s0xd5805732d7ff641:0xf2620ec776f70c98!8m2!3d42.4137495!4d-0.1187925!16s%2Fg%2F120knddh?authuser=0&amp;entry=ttu&amp;g_ep=EgoyMDI2MDYyOS4wIKXMDSoASAFQAw%3D%3D</t>
  </si>
  <si>
    <t>https://www.google.com/maps/place/22378+Lin%C3%A1s+de+Broto,+Huesca/@42.6181914,-0.1718335,800m/data=!3m2!1e3!4b1!4m6!3m5!1s0xd57f7386ad5d01d:0xb63ce5e0cabc117a!8m2!3d42.6191226!4d-0.1691052!16s%2Fg%2F12307bzf?authuser=0&amp;entry=ttu&amp;g_ep=EgoyMDI2MDYyOS4wIKXMDSoASAFQAw%3D%3D</t>
  </si>
  <si>
    <t>dia</t>
  </si>
  <si>
    <t>fecha</t>
  </si>
  <si>
    <t>LATITUD</t>
  </si>
  <si>
    <t>LONGITUD</t>
  </si>
  <si>
    <t>DIFICULTAD</t>
  </si>
  <si>
    <t>PROVINCIA</t>
  </si>
  <si>
    <t>excursion</t>
  </si>
  <si>
    <t>baja</t>
  </si>
  <si>
    <t>Huesca</t>
  </si>
  <si>
    <t>Tarragona</t>
  </si>
  <si>
    <t>Cuenca</t>
  </si>
  <si>
    <t>Zaragoza</t>
  </si>
  <si>
    <t>Navarra</t>
  </si>
  <si>
    <t>LOGOS</t>
  </si>
  <si>
    <t>elaios</t>
  </si>
  <si>
    <t>elaios; panteres_grogues</t>
  </si>
  <si>
    <t>elaios; dracs</t>
  </si>
  <si>
    <t>elaios; rgp</t>
  </si>
  <si>
    <t>Poblacion</t>
  </si>
  <si>
    <t>Participantes</t>
  </si>
  <si>
    <t>TIPO_ACTIVIDAD</t>
  </si>
  <si>
    <t>Excursión Almonacid de la Sierra</t>
  </si>
  <si>
    <t>Almonacid de la Sierra</t>
  </si>
  <si>
    <t>https://www.google.com/maps/place/50108+Almonacid+de+la+Sierra,+Zaragoza/@41.3967627,-1.3329461,1235m/data=!3m2!1e3!4b1!4m6!3m5!1s0xd5bfb06d278f26f:0x5cf3b2deb6a37149!8m2!3d41.3973886!4d-1.3241976!16s%2Fm%2F02z9sjz?entry=ttu&amp;g_ep=EgoyMDI2MDcxNS4wIKXMDSoASAFQAw%3D%3D</t>
  </si>
  <si>
    <t>https://loc.wiki/t/241354682?h=2zl67lldzo&amp;wa=so&amp;la=es</t>
  </si>
  <si>
    <t>-</t>
  </si>
  <si>
    <t>alta</t>
  </si>
  <si>
    <t>https://es.wikiloc.com/rutas-senderismo/pico-culfreda-desde-refugio-de-viados-233173324</t>
  </si>
  <si>
    <t>Glasgow</t>
  </si>
  <si>
    <t>https://www.google.com/maps/place/Glasgow,+Reino+Unido/@55.855405,-4.5621459,29570m/data=!3m2!1e3!4b1!4m6!3m5!1s0x488815562056ceeb:0x71e683b805ef511e!8m2!3d55.8616704!4d-4.2583345!16zL20vMGh5eHY?entry=ttu&amp;g_ep=EgoyMDI2MDcxNS4wIKXMDSoASAFQAw%3D%3D</t>
  </si>
  <si>
    <t>bici</t>
  </si>
  <si>
    <t>Peña Oroel</t>
  </si>
  <si>
    <t>Aniés</t>
  </si>
  <si>
    <t>Santa Orosia</t>
  </si>
  <si>
    <t>Pico del Águila</t>
  </si>
  <si>
    <t>Ordesa</t>
  </si>
  <si>
    <t>Villanua dolmen</t>
  </si>
  <si>
    <t>Tuca Mulleres</t>
  </si>
  <si>
    <t>Respomuso</t>
  </si>
  <si>
    <t>Valle de Tiermas</t>
  </si>
  <si>
    <t>La Alfranca</t>
  </si>
  <si>
    <t>Raquetas Piedrafita</t>
  </si>
  <si>
    <t>Puchilibro</t>
  </si>
  <si>
    <t>Nacimiento del Pitarque</t>
  </si>
  <si>
    <t>Valle de Ordiso / Valle de Otal</t>
  </si>
  <si>
    <t>Moncayo</t>
  </si>
  <si>
    <t>Canal de Izás</t>
  </si>
  <si>
    <t>Diciembre</t>
  </si>
  <si>
    <t>San Juan de la Peña</t>
  </si>
  <si>
    <t>Arguis, nacimiento Flumen</t>
  </si>
  <si>
    <t>Peñas de Herrera (intento)</t>
  </si>
  <si>
    <t>Raquetas Tramacastilla</t>
  </si>
  <si>
    <t>Riglos y Foz de Escalete</t>
  </si>
  <si>
    <t>Calomarde - Frías de Albarracín</t>
  </si>
  <si>
    <t>Canal Roya</t>
  </si>
  <si>
    <t>Septiembre</t>
  </si>
  <si>
    <t>Senda Cazadores</t>
  </si>
  <si>
    <t>Peñas de Herrera</t>
  </si>
  <si>
    <t>Hoces del río Mesa</t>
  </si>
  <si>
    <t>Paniza</t>
  </si>
  <si>
    <t>Raquetas Estanés</t>
  </si>
  <si>
    <t>San Chinés en Vadiello</t>
  </si>
  <si>
    <t>Bco Mascún</t>
  </si>
  <si>
    <t>Pazino</t>
  </si>
  <si>
    <t>Canal de Bielsa</t>
  </si>
  <si>
    <t>Sobrepuerto - Ainielle</t>
  </si>
  <si>
    <t>San Caprasio</t>
  </si>
  <si>
    <t>Anento</t>
  </si>
  <si>
    <t>Obón - Alcaine</t>
  </si>
  <si>
    <t>Revilla, Mondoto (RGP)</t>
  </si>
  <si>
    <t>Peña Montañesa (intento)</t>
  </si>
  <si>
    <t>Beceite, Parrisal</t>
  </si>
  <si>
    <t>Garmo Negro</t>
  </si>
  <si>
    <t>Ibón de Piedrafita y Arco</t>
  </si>
  <si>
    <t>Circular Fanlo - Comiello</t>
  </si>
  <si>
    <t>Bierge</t>
  </si>
  <si>
    <t>Foz de Salinas y la Osqueta</t>
  </si>
  <si>
    <t>Valle d’Ossau (RGP)</t>
  </si>
  <si>
    <t>Peña Montañesa</t>
  </si>
  <si>
    <t>Travesía Benasque- la Glera</t>
  </si>
  <si>
    <t>Lecina - Betorz</t>
  </si>
  <si>
    <t>Ansó, bosque de Gamueta</t>
  </si>
  <si>
    <t>Modorra de Cucalón</t>
  </si>
  <si>
    <t>Sierra de Santo Domingo - Biel</t>
  </si>
  <si>
    <t>Ordesa, Raquetas</t>
  </si>
  <si>
    <t>Moncayo raquetas</t>
  </si>
  <si>
    <t>Tozal de Guara</t>
  </si>
  <si>
    <t>Basa de la Mora, Cotiella</t>
  </si>
  <si>
    <t>Travesía Panticosa-Bujaruelo</t>
  </si>
  <si>
    <t>M. de Leire - Arangoiti</t>
  </si>
  <si>
    <t>Circular desde Colungo</t>
  </si>
  <si>
    <t>Les Garrigues y el Montsant (Panteres Grogues)</t>
  </si>
  <si>
    <t>Raquetas Pelopín</t>
  </si>
  <si>
    <t>Vallèe d’Ossau (RGP)</t>
  </si>
  <si>
    <t>GR-15 Fanlo - Sarvisé</t>
  </si>
  <si>
    <t>Muela de Montalbán</t>
  </si>
  <si>
    <t>Circular Castillo de Peracense</t>
  </si>
  <si>
    <t>Raquetas Anayet</t>
  </si>
  <si>
    <t>Barranco de Mascún</t>
  </si>
  <si>
    <t>Sierra de Urbasa (Gehitu)</t>
  </si>
  <si>
    <t>Lizara - Gabardito</t>
  </si>
  <si>
    <t>Alto Tajo: Barranco de la hoz</t>
  </si>
  <si>
    <t>Vadiello: ermitas y el Huevo</t>
  </si>
  <si>
    <t>Fiscal - Sasé</t>
  </si>
  <si>
    <t>Raquetas Aísa</t>
  </si>
  <si>
    <t>Valles del Jerte/ la Vera</t>
  </si>
  <si>
    <t>La Espata y Collarada</t>
  </si>
  <si>
    <t>Petrechema y Alanos (Gehitu)</t>
  </si>
  <si>
    <t>El Aspe</t>
  </si>
  <si>
    <t>Matarraña y Els Ports (Samarucs)</t>
  </si>
  <si>
    <t>Somport - Villanua</t>
  </si>
  <si>
    <t>Alcaine - Oliete</t>
  </si>
  <si>
    <t>Peña Gratal</t>
  </si>
  <si>
    <t>Raquetas en Mondoto y Pineta (Panteres Grogues)</t>
  </si>
  <si>
    <t>Guara - Belsué</t>
  </si>
  <si>
    <t>Chimiachas - Alquezar</t>
  </si>
  <si>
    <t>Entremon</t>
  </si>
  <si>
    <t>Almazorre-Lecina-Betorz</t>
  </si>
  <si>
    <t>Zugarramurdi (Gehitu)</t>
  </si>
  <si>
    <t>Anzotiello</t>
  </si>
  <si>
    <t>Trives y Ribera Sacra</t>
  </si>
  <si>
    <t>Hospice de France (RGP)</t>
  </si>
  <si>
    <t>Circular Mallos de Riglos</t>
  </si>
  <si>
    <t>Sierra norte Guadalajara</t>
  </si>
  <si>
    <t>Hoces del río Piedra</t>
  </si>
  <si>
    <t>Montserrat (Panteres Grogues)</t>
  </si>
  <si>
    <t>Raquetas Lizara</t>
  </si>
  <si>
    <t>Villarluengo</t>
  </si>
  <si>
    <t>Sierra Armantes</t>
  </si>
  <si>
    <t>Barrosa y Chistau (RGP)</t>
  </si>
  <si>
    <t>Camiño dos Faros</t>
  </si>
  <si>
    <t>Faja Racún y Canarellos</t>
  </si>
  <si>
    <t>Bruello-Santa María de Buil</t>
  </si>
  <si>
    <t>Raquetas Portalet</t>
  </si>
  <si>
    <t>Río Mesa</t>
  </si>
  <si>
    <t>Canal Imperial</t>
  </si>
  <si>
    <t>https://es.wikiloc.com/wikiloc/map.do?q=Canal%20Imperial</t>
  </si>
  <si>
    <t>Bergua-Escartín</t>
  </si>
  <si>
    <t>https://es.wikiloc.com/wikiloc/map.do?q=Lesc%C3%BAn%20%28RGP%29%0ACastanesa</t>
  </si>
  <si>
    <t>Castillo de Acher</t>
  </si>
  <si>
    <t>https://es.wikiloc.com/wikiloc/map.do?q=Castillo%20de%20Acher</t>
  </si>
  <si>
    <t>Cresta de Balces 1</t>
  </si>
  <si>
    <t>https://es.wikiloc.com/wikiloc/map.do?q=Cresta%20de%20Balces%201</t>
  </si>
  <si>
    <t>Alto de Herrera</t>
  </si>
  <si>
    <t>https://es.wikiloc.com/wikiloc/map.do?q=Alto%20de%20Herrera</t>
  </si>
  <si>
    <t>Sierra de Algairén</t>
  </si>
  <si>
    <t>https://es.wikiloc.com/wikiloc/map.do?q=Sierra%20de%20Algair%C3%A9n</t>
  </si>
  <si>
    <t>Barrancos de Azpe y Abellada</t>
  </si>
  <si>
    <t>https://es.wikiloc.com/wikiloc/map.do?q=Barrancos%20de%20Azpe%20y%20Abellada</t>
  </si>
  <si>
    <t>Castillo y ermita de Ordás</t>
  </si>
  <si>
    <t>https://es.wikiloc.com/wikiloc/map.do?q=Castillo%20y%20ermita%20de%20Ord%C3%A1s</t>
  </si>
  <si>
    <t>Sierra de Jubera</t>
  </si>
  <si>
    <t>https://es.wikiloc.com/wikiloc/map.do?q=Sierra%20de%20Jubera</t>
  </si>
  <si>
    <t>Castillo Mayor</t>
  </si>
  <si>
    <t>https://es.wikiloc.com/wikiloc/map.do?q=Castillo%20Mayor</t>
  </si>
  <si>
    <t>https://es.wikiloc.com/wikiloc/map.do?q=Ermitas%20de%20Bonansa%0ATurb%C3%B3n</t>
  </si>
  <si>
    <t>https://es.wikiloc.com/wikiloc/map.do?q=Valle%20de%20Ordiso%0APico%20Bernatuara</t>
  </si>
  <si>
    <t>Vuelta al Posets</t>
  </si>
  <si>
    <t>https://es.wikiloc.com/wikiloc/map.do?q=Vuelta%20al%20Posets</t>
  </si>
  <si>
    <t>Vuelta al Midi</t>
  </si>
  <si>
    <t>https://es.wikiloc.com/wikiloc/map.do?q=Vuelta%20al%20Midi</t>
  </si>
  <si>
    <t>Soria Covaleda</t>
  </si>
  <si>
    <t>https://es.wikiloc.com/wikiloc/map.do?q=Soria%20Covaleda</t>
  </si>
  <si>
    <t>Crestas de Balces 2</t>
  </si>
  <si>
    <t>https://es.wikiloc.com/wikiloc/map.do?q=Crestas%20de%20Balces%202</t>
  </si>
  <si>
    <t>Bardena negra</t>
  </si>
  <si>
    <t>https://es.wikiloc.com/wikiloc/map.do?q=Bardena%20negra</t>
  </si>
  <si>
    <t>https://es.wikiloc.com/wikiloc/map.do?q=Osqueta%20desde%20Villarluego</t>
  </si>
  <si>
    <t>https://es.wikiloc.com/wikiloc/map.do?q=Rutas%20Valle%20de%20Izki</t>
  </si>
  <si>
    <t>https://es.wikiloc.com/wikiloc/map.do?q=GR-92%20y%20Sierra%20Mestral</t>
  </si>
  <si>
    <t>https://es.wikiloc.com/wikiloc/map.do?q=Circular%20Piarc%C3%A9s%0AJubierre%20%28RGP%29</t>
  </si>
  <si>
    <t>https://es.wikiloc.com/wikiloc/map.do?q=Camino%20del%20canal%20y%20ermitas%20de%20Tella%0APunta%20Pegueras</t>
  </si>
  <si>
    <t>https://es.wikiloc.com/wikiloc/map.do?q=Circular%20Aso%20de%20Sobremonte</t>
  </si>
  <si>
    <t>https://es.wikiloc.com/wikiloc/map.do?q=Pico%20Baci%C3%A1s</t>
  </si>
  <si>
    <t>Ruta 3000 ibones</t>
  </si>
  <si>
    <t>https://es.wikiloc.com/wikiloc/map.do?q=Ruta%203000%20ibones</t>
  </si>
  <si>
    <t>Hoz Mayor en Fuendetodos</t>
  </si>
  <si>
    <t>https://es.wikiloc.com/wikiloc/map.do?q=Hoz%20Mayor%20en%20Fuendetodos</t>
  </si>
  <si>
    <t>Circular Fanlo Chate</t>
  </si>
  <si>
    <t>https://es.wikiloc.com/wikiloc/map.do?q=Circular%20Fanlo%20Chate</t>
  </si>
  <si>
    <t>Muela de Beratón</t>
  </si>
  <si>
    <t>https://es.wikiloc.com/wikiloc/map.do?q=Muela%20de%20Berat%C3%B3n</t>
  </si>
  <si>
    <t>Biscarrués</t>
  </si>
  <si>
    <t>https://es.wikiloc.com/wikiloc/map.do?q=Biscarru%C3%A9s</t>
  </si>
  <si>
    <t>Ayera</t>
  </si>
  <si>
    <t>https://es.wikiloc.com/wikiloc/map.do?q=Ayera</t>
  </si>
  <si>
    <t>Muro de Roda</t>
  </si>
  <si>
    <t>https://es.wikiloc.com/wikiloc/map.do?q=Muro%20de%20Roda</t>
  </si>
  <si>
    <t>Hoces del Huerva</t>
  </si>
  <si>
    <t>https://es.wikiloc.com/wikiloc/map.do?q=Hoces%20del%20Huerva</t>
  </si>
  <si>
    <t>https://es.wikiloc.com/wikiloc/map.do?q=Sierra%20de%20And%C3%ADa%20y%20Valle%20de%20Ollo</t>
  </si>
  <si>
    <t>Asturias: Sierra de las Ubiñas</t>
  </si>
  <si>
    <t>https://es.wikiloc.com/wikiloc/map.do?q=Asturias%3A%20Sierra%20de%20las%20Ubi%C3%B1as</t>
  </si>
  <si>
    <t>https://es.wikiloc.com/wikiloc/map.do?q=Reserva%20natural%20de%20N%C3%A9ouvielle%20%0ASaint-Lary%20Soulan%20%28RGP%29</t>
  </si>
  <si>
    <t>https://es.wikiloc.com/wikiloc/map.do?q=Punta%20el%20Cuezo</t>
  </si>
  <si>
    <t>Pico del Puerto Viejo</t>
  </si>
  <si>
    <t>https://es.wikiloc.com/wikiloc/map.do?q=Pico%20del%20Puerto%20Viejo</t>
  </si>
  <si>
    <t>Senda de Camille</t>
  </si>
  <si>
    <t>https://es.wikiloc.com/wikiloc/map.do?q=Senda%20de%20Camille</t>
  </si>
  <si>
    <t>https://es.wikiloc.com/wikiloc/map.do?q=Ibones%20de%20Angli%C3%B3s%20y%20Llauset%0APico%20Vallibierna</t>
  </si>
  <si>
    <t>https://es.wikiloc.com/wikiloc/map.do?q=Fin%20de%20semana%20en%20el%20Alt%20Urgell%20%28Panteres%20Grogues%29</t>
  </si>
  <si>
    <t>Peña Palomera</t>
  </si>
  <si>
    <t>https://es.wikiloc.com/wikiloc/map.do?q=Pe%C3%B1a%20Palomera</t>
  </si>
  <si>
    <t>Retuerta de Pina</t>
  </si>
  <si>
    <t>https://es.wikiloc.com/wikiloc/map.do?q=Retuerta%20de%20Pina</t>
  </si>
  <si>
    <t>elaios; gehitu</t>
  </si>
  <si>
    <t>elaios; samarucs</t>
  </si>
  <si>
    <t>google.es/maps/place/Venta+de+Santa+Lucía/@41.5730863,-0.9024154,10z/data=!4m6!3m5!1s0xd58c69975e2f283:0xcab7ba9c8b23f28c!8m2!3d41.496398!4d-0.3672322!16s%2Fg%2F11bw4tk19h?entry=tts&amp;g_ep=EgoyMDI0MTIwOS4wIPu8ASoASAFQAw%3D%3D</t>
  </si>
  <si>
    <t>Pina de Ebro</t>
  </si>
  <si>
    <t>https://es.wikiloc.com/rutas-senderismo/por-la-retuerta-de-pina-9463560</t>
  </si>
  <si>
    <t>https://es.wikiloc.com/rutas-senderismo/pena-palomera-desde-ermita-de-la-virgen-del-castillo-aguaton-191967662</t>
  </si>
  <si>
    <t>Teruel</t>
  </si>
  <si>
    <t>Aguatón</t>
  </si>
  <si>
    <t>https://www.google.es/maps/place/Ermita+de+Nuestra+Se%C3%B1ora+del+Castillo/@40.6250174,-1.2172679,17z/data=!3m1!4b1!4m6!3m5!1s0xd5dd555892802ed:0x5fa1d9ce78a9c7fa!8m2!3d40.6250134!4d-1.212397!16s%2Fg%2F11f095q48s?entry=ttu&amp;g_ep=EgoyMDI2MDcxNS4wIKXMDSoASAFQAw%3D%3D</t>
  </si>
  <si>
    <t>Sierra y Cap de Carreu (1749 m)</t>
  </si>
  <si>
    <t>Organyá</t>
  </si>
  <si>
    <t>https://www.google.es/maps/place/25794+Organy%C3%A0,+L%C3%A9rida/@42.2105111,1.3256442,17z/data=!3m1!4b1!4m6!3m5!1s0x12a5dd7565858843:0xdd1f1ca9f2c69b8e!8m2!3d42.211946!4d1.3278062!16s%2Fg%2F11x9m1pr5?entry=ttu&amp;g_ep=EgoyMDI2MDcxNS4wIKXMDSoASAFQAw%3D%3D</t>
  </si>
  <si>
    <t>https://ca.wikiloc.com/rutes-senderisme/serra-de-carreu-pic-del-cap-de-carreu-font-de-la-menta-86612570</t>
  </si>
  <si>
    <t>Lleida</t>
  </si>
  <si>
    <t>Tossal Balinyó (1211 m) y Tossal d’Oriola (1281 m)</t>
  </si>
  <si>
    <t>https://es.wikiloc.com/rutas-senderismo/tossal-balinyo-tossal-del-pouet-i-tossal-doriola-84123133</t>
  </si>
  <si>
    <t>Ibones de Angliós y Llauset, refugio de Cap de Llauset.</t>
  </si>
  <si>
    <t>Pico Vallibierna desde el refugio del Cap de Llauset</t>
  </si>
  <si>
    <t>Pont de Suert</t>
  </si>
  <si>
    <t>refugio del Cap de Llauset</t>
  </si>
  <si>
    <t>https://www.google.es/maps/place/25520+El+Pont+de+Suert,+L%C3%A9rida/@42.4086307,0.7361791,16z/data=!3m1!4b1!4m6!3m5!1s0x12a62fec555d438f:0x8cfeca0a661a3d17!8m2!3d42.4080464!4d0.7408063!16zL20vMGw2Y3Q?entry=ttu&amp;g_ep=EgoyMDI2MDcxNS4wIKXMDSoASAFQAw%3D%3D</t>
  </si>
  <si>
    <t>https://es.wikiloc.com/rutas-senderismo/llauset-ibon-ubaga-ibones-cap-de-anglios-ibon-y-refugio-de-cap-de-llauset-139434263</t>
  </si>
  <si>
    <t>https://www.google.es/maps/place/Refugio+Cap+de+Llauset/@42.5962543,0.6805426,17z/data=!4m9!3m8!1s0x12a883d74149c503:0xc5941fbc30201b2f!5m2!4m1!1i2!8m2!3d42.5962504!4d0.6831175!16s%2Fg%2F11c20brkcv?entry=ttu&amp;g_ep=EgoyMDI2MDcxNS4wIKXMDSoASAFQAw%3D%3D</t>
  </si>
  <si>
    <t>travesia</t>
  </si>
  <si>
    <t>https://www.google.es/maps/place/Selva+de+Oza/@42.7024541,-0.7622188,15z/data=!3m1!4b1!4m6!3m5!1s0xd577aab1e2b1f8d:0xa66c4bc872e4f05!8m2!3d42.7024393!4d-0.7519191!16s%2Fg%2F122pkwd6?entry=ttu&amp;g_ep=EgoyMDI2MDcxNS4wIKXMDSoASAFQAw%3D%3D</t>
  </si>
  <si>
    <t>Selva de Oza</t>
  </si>
  <si>
    <t>Punta El Cuezo desde Espierba</t>
  </si>
  <si>
    <t>Refugio de Pineta</t>
  </si>
  <si>
    <t>https://gl.wikiloc.com/rutas-sendeirismo/punta-el-cuezo-2034-m-desde-espierba-circular-por-los-llanos-de-diera-116211792</t>
  </si>
  <si>
    <t>https://www.google.es/maps/place/Refugio+de+Pineta/@42.6661532,0.1011666,17z/data=!3m1!4b1!4m9!3m8!1s0x12a80459ca21e3a7:0x85b16bf7b7202eda!5m2!4m1!1i2!8m2!3d42.6661493!4d0.1037415!16s%2Fg%2F11f779phhv?entry=ttu&amp;g_ep=EgoyMDI2MDcxNS4wIKXMDSoASAFQAw%3D%3D</t>
  </si>
  <si>
    <t>https://gl.wikiloc.com/rutas-sendeirismo/faja-tormosa-desde-el-refugio-ronatiza-de-pineta-circular-cmm-7286967</t>
  </si>
  <si>
    <t>junio</t>
  </si>
  <si>
    <t>Lagos y Mont Pelat</t>
  </si>
  <si>
    <t>Estibère</t>
  </si>
  <si>
    <t>https://www.google.es/maps/place/Vacation+Village+Estib%C3%A8re/@42.8267602,0.3226832,17z/data=!3m1!4b1!4m9!3m8!1s0x12a86ae2d321632f:0x67857110163d248!5m2!4m1!1i2!8m2!3d42.8267564!4d0.3275541!16s%2Fg%2F1q62mswdr?entry=ttu&amp;g_ep=EgoyMDI2MDcxNS4wIKXMDSoASAFQAw%3D%3D</t>
  </si>
  <si>
    <t>media</t>
  </si>
  <si>
    <t>Francia</t>
  </si>
  <si>
    <t>https://emea01.safelinks.protection.outlook.com/?url=https%3A%2F%2Fwww.visugpx.com%2FVAhZDyRtZj%3Futm_source%3Dbrevo%26utm_campaign%3D2024-06%2520Elaios%26utm_medium%3Demail&amp;data=05%7C02%7C%7C8b8ec1387e074bd3e7e308dc8bd19c02%7C84df9e7fe9f640afb435aaaaaaaaaaaa%7C1%7C0%7C638538979588051585%7CUnknown%7CTWFpbGZsb3d8eyJWIjoiMC4wLjAwMDAiLCJQIjoiV2luMzIiLCJBTiI6Ik1haWwiLCJXVCI6Mn0%3D%7C0%7C%7C%7C&amp;sdata=QCzqJwAcnm1py%2FTqTrFF6kCeuFudGgIIRvNWFfaxdOg%3D&amp;reserved=0</t>
  </si>
  <si>
    <t>https://emea01.safelinks.protection.outlook.com/?url=https%3A%2F%2Fwww.visugpx.com%2FUVNZmCcpSp%3Futm_source%3Dbrevo%26utm_campaign%3D2024-06%2520Elaios%26utm_medium%3Demail&amp;data=05%7C02%7C%7C8b8ec1387e074bd3e7e308dc8bd19c02%7C84df9e7fe9f640afb435aaaaaaaaaaaa%7C1%7C0%7C638538979588060402%7CUnknown%7CTWFpbGZsb3d8eyJWIjoiMC4wLjAwMDAiLCJQIjoiV2luMzIiLCJBTiI6Ik1haWwiLCJXVCI6Mn0%3D%7C0%7C%7C%7C&amp;sdata=kSW3Ref8fXVxCL20aoA63U842Zv2zlRSyCFuM1KoZI8%3D&amp;reserved=0</t>
  </si>
  <si>
    <t>Hourquette d'Aubert saliendo del lago Orédon</t>
  </si>
  <si>
    <t>Gijón</t>
  </si>
  <si>
    <t>encuentro</t>
  </si>
  <si>
    <t>Asturias</t>
  </si>
  <si>
    <t>https://www.google.es/maps/place/Gij%C3%B3n,+Asturias/@43.5314833,-5.709654,13z/data=!3m1!4b1!4m6!3m5!1s0xd367c66cbf494bf:0xbd06d207048d3536!8m2!3d43.5322493!4d-5.6609733!16zL20vMHZndzI?entry=ttu&amp;g_ep=EgoyMDI2MDcxNS4wIKXMDSoASAFQAw%3D%3D</t>
  </si>
  <si>
    <t>Excursión a los Altos de Goñi y Bordas de la Cofradía y el Pelotón</t>
  </si>
  <si>
    <t>Munárriz</t>
  </si>
  <si>
    <t>Circular por las Foces de Lezaia y Murón</t>
  </si>
  <si>
    <t>https://www.google.es/maps/place/31172+Mun%C3%A1rriz,+Navarra/@42.8161185,-1.9029115,17z/data=!3m1!4b1!4m6!3m5!1s0xd5060d0817af7b1:0x964328cd074b398b!8m2!3d42.8169099!4d-1.899476!16s%2Fg%2F121hf4vk?entry=ttu&amp;g_ep=EgoyMDI2MDcxNS4wIKXMDSoASAFQAw%3D%3D</t>
  </si>
  <si>
    <t>Herrera de los Navarros</t>
  </si>
  <si>
    <t>https://www.google.es/maps/place/50150+Herrera+de+los+Navarros,+Zaragoza/@41.2093632,-1.0853411,17z/data=!3m1!4b1!4m6!3m5!1s0xd5eadc40b0e10e9:0x141fab71a79fcd15!8m2!3d41.2100021!4d-1.0821616!16s%2Fm%2F02z9tfv?entry=ttu&amp;g_ep=EgoyMDI2MDcxNS4wIKXMDSoASAFQAw%3D%3D</t>
  </si>
  <si>
    <t>Humo de Muro</t>
  </si>
  <si>
    <t>https://www.google.es/maps/place/22336+El+Humo+de+Muro,+Huesca/@42.3351825,0.2381792,17z/data=!3m1!4b1!4m6!3m5!1s0x12a7e93f7783fcb5:0x36a14e7b8e024d91!8m2!3d42.3350046!4d0.240738!16s%2Fg%2F121n92t2?entry=ttu&amp;g_ep=EgoyMDI2MDcxNS4wIKXMDSoASAFQAw%3D%3D</t>
  </si>
  <si>
    <t>https://www.google.es/maps/place/22140+Ayera,+Huesca/@42.1753284,-0.3021949,18z/data=!3m1!4b1!4m6!3m5!1s0xd5841e041caf04d:0xa813ab7f050ca989!8m2!3d42.1752427!4d-0.3009001!16s%2Fg%2F121hx34l?entry=ttu&amp;g_ep=EgoyMDI2MDcxNS4wIKXMDSoASAFQAw%3D%3D</t>
  </si>
  <si>
    <t>Sendero Botánico de Biscarrués o de la Galliguera</t>
  </si>
  <si>
    <t>https://www.google.es/maps/place/22807+Biscarru%C3%A9s,+Huesca/@42.2281996,-0.7538425,17z/data=!3m1!4b1!4m6!3m5!1s0xd59b7f8da12fe7b:0xe38fb226d3ff7064!8m2!3d42.228234!4d-0.7526868!16s%2Fm%2F02z9nl1?entry=ttu&amp;g_ep=EgoyMDI2MDcxNS4wIKXMDSoASAFQAw%3D%3D</t>
  </si>
  <si>
    <t>Soria</t>
  </si>
  <si>
    <t>https://www.google.es/maps/place/Muela+De+Berat%C3%B3n/@41.7165384,-1.7875676,17z/data=!3m1!4b1!4m6!3m5!1s0xd5ba7005d62f4f9:0x60bb6c1a16ab2281!8m2!3d41.7165344!4d-1.7849927!16s%2Fg%2F11ypgzkzgg?entry=ttu&amp;g_ep=EgoyMDI2MDcxNS4wIKXMDSoASAFQAw%3D%3D</t>
  </si>
  <si>
    <t>Beratón</t>
  </si>
  <si>
    <t>Fuendetodos</t>
  </si>
  <si>
    <t>Fanlo</t>
  </si>
  <si>
    <t>https://es.wikiloc.com/rutas-senderismo/fanlo-chate-32782979</t>
  </si>
  <si>
    <t>https://www.google.es/maps/place/22375+Fanlo,+Huesca/@42.5872816,-0.0216105,19z/data=!3m1!4b1!4m6!3m5!1s0xd57ffb5acd169c1:0x937a27d115670124!8m2!3d42.5874095!4d-0.0212797!16s%2Fg%2F11bc5_lp2z?entry=ttu&amp;g_ep=EgoyMDI2MDcxNS4wIKXMDSoASAFQAw%3D%3D</t>
  </si>
  <si>
    <t>https://www.google.com/maps/place/Hotel+Restaurante+El+Capricho+de+Goya/@41.3408123,-0.9606618,17z/data=!4m9!3m8!1s0xd594bc6c695611f:0x961bdd6174fa8b51!5m2!4m1!1i2!8m2!3d41.3408123!4d-0.9570853!16s%2Fg%2F1wg5zbq_?authuser=0&amp;entry=tts</t>
  </si>
  <si>
    <t>Circular Aso de Sobremonte, Estachoplano y Monte Lucas</t>
  </si>
  <si>
    <t>Piedrafita de Jaca</t>
  </si>
  <si>
    <t>https://www.google.es/maps/place/Albergue+El+Betato/@42.6963666,-0.3286934,17z/data=!3m1!4b1!4m9!3m8!1s0xd578d6fb14d882f:0xd4a0710ad3383abc!5m2!4m1!1i2!8m2!3d42.6963627!4d-0.3261185!16s%2Fg%2F12vt3gpns?entry=ttu&amp;g_ep=EgoyMDI2MDcxNS4wIKXMDSoASAFQAw%3D%3D</t>
  </si>
  <si>
    <t>Pico Baciás e ibones de Brazatos desde el Balneario de Panticosa</t>
  </si>
  <si>
    <t>https://www.google.es/maps/place/22661+Panticosa,+Huesca/@42.7243392,-0.286882,17z/data=!3m1!4b1!4m6!3m5!1s0xd57ed411ff862a3:0x9a70c861ef5fca7e!8m2!3d42.7237286!4d-0.2842732!16s%2Fg%2F11bc6qpcp2?entry=ttu&amp;g_ep=EgoyMDI2MDcxNS4wIKXMDSoASAFQAw%3D%3D</t>
  </si>
  <si>
    <t>https://www.google.es/maps/place/Albergue+Borda+Miguela/@42.5546979,0.2550798,17z/data=!4m9!3m8!1s0x12a80a7ec6a7e425:0xf4ca507b7ac1f295!5m2!4m1!1i2!8m2!3d42.554694!4d0.2576547!16s%2Fg%2F11b6dcynfv?entry=ttu&amp;g_ep=EgoyMDI2MDcxNS4wIKXMDSoASAFQAw%3D%3D</t>
  </si>
  <si>
    <t>Saravillo</t>
  </si>
  <si>
    <t>Punta Pegueras</t>
  </si>
  <si>
    <t>Camino del canal y ermitas de Tella</t>
  </si>
  <si>
    <t>mayo</t>
  </si>
  <si>
    <t>Tozales de Jubierre</t>
  </si>
  <si>
    <t>Sietamo</t>
  </si>
  <si>
    <t>https://www.google.es/maps/place/22120+Si%C3%A9tamo,+Huesca/@42.1262349,-0.288962,16z/data=!3m1!4b1!4m6!3m5!1s0xd5869c86e724c7b:0x47ccb08933c3746a!8m2!3d42.1303701!4d-0.2813739!16s%2Fg%2F11bc6nwk_0?entry=ttu&amp;g_ep=EgoyMDI2MDcxNS4wIKXMDSoASAFQAw%3D%3D</t>
  </si>
  <si>
    <t>GR-92 Camino de ronda desde L´Ametlla de Mar a L´Ampolla</t>
  </si>
  <si>
    <t>Excursión circular por la sierra de Mestral</t>
  </si>
  <si>
    <t>L'Hospitalet de L'Infant (Tarragona)</t>
  </si>
  <si>
    <t>https://www.google.es/maps/place/L'Hospitalet+de+l'Infant,+Tarragona/@40.9901505,0.9135782,16z/data=!3m1!4b1!4m6!3m5!1s0x12a14063586f1b6d:0xa00fae29cc976f0!8m2!3d40.990924!4d0.9237179!16s%2Fg%2F121hx3bg?entry=ttu&amp;g_ep=EgoyMDI2MDcxNS4wIKXMDSoASAFQAw%3D%3D</t>
  </si>
  <si>
    <t>marzo</t>
  </si>
  <si>
    <t>https://gl.wikiloc.com/rutas-sendeirismo/antonana-soila-994-m-por-la-senda-el-agin-29126591</t>
  </si>
  <si>
    <t>https://gl.wikiloc.com/rutas-sendeirismo/agradable-mananera-por-el-parque-natural-de-izki-san-justi-san-cristobal-y-pena-del-arco-229864</t>
  </si>
  <si>
    <t>Santa Cruz de Campezo</t>
  </si>
  <si>
    <t>https://www.google.es/maps/place/01110+Santa+Cruz+de+Campezo+%2F+Santikurutze+Kanpezu,+%C3%81lava/@42.6699037,-2.356951,16z/data=!3m1!4b1!4m6!3m5!1s0xd5004c4c4b1c6e1:0xc238dbe69722f411!8m2!3d42.6699842!4d-2.3508804!16s%2Fg%2F122z2d19?entry=ttu&amp;g_ep=EgoyMDI2MDcxNS4wIKXMDSoASAFQAw%3D%3D</t>
  </si>
  <si>
    <t>Álava</t>
  </si>
  <si>
    <t>Circular Apellániz - San Justi y Peña del Arco por las sendas del Cartero y de Txarabitana</t>
  </si>
  <si>
    <t>Ascensión al Soila (994m) desde Antoñana por la Senda del Egin</t>
  </si>
  <si>
    <t>Escocia</t>
  </si>
  <si>
    <t>https://www.google.es/maps/place/50617+Valare%C3%B1a,+Zaragoza/@42.1322309,-1.312028,17z/data=!3m1!4b1!4m6!3m5!1s0xd5a246ade787095:0x8655f13efb16435f!8m2!3d42.1312976!4d-1.3095728!16s%2Fg%2F11b73wcll7?entry=ttu&amp;g_ep=EgoyMDI2MDcxNS4wIKXMDSoASAFQAw%3D%3D</t>
  </si>
  <si>
    <t>Valareña</t>
  </si>
  <si>
    <t>https://es.wikiloc.com/rutas-senderismo/cresta-balcez-paniebla-tozales-de-paco-tiesto-y-as-forcas-y-pozos-hielo-de-bagueste-circular-desde-46351304</t>
  </si>
  <si>
    <t>Rodellar</t>
  </si>
  <si>
    <t>https://www.google.es/maps/place/22144+Rodellar,+Huesca/@42.2824179,-0.0798846,18z/data=!3m1!4b1!4m6!3m5!1s0xd580c796e2eb361:0x79ff973419d7e46f!8m2!3d42.2822815!4d-0.0786188!16s%2Fg%2F122p7s_d?entry=ttu&amp;g_ep=EgoyMDI2MDcxNS4wIKXMDSoASAFQAw%3D%3D</t>
  </si>
  <si>
    <t>https://www.google.com/maps/place/Hostal+San+Mart%C3%ADn/@41.8854176,-2.7880939,809m/data=!3m2!1e3!4b1!4m6!3m5!1s0xd44e01d53bd152f:0x68abc32afdbe795c!8m2!3d41.8854176!4d-2.7880939!16s%2Fg%2F1tcv2rt9?hl=es-ES&amp;entry=ttu&amp;g_ep=EgoyMDI2MDcxNS4wIKXMDSoASAFQAw%3D%3D</t>
  </si>
  <si>
    <t>Molinos de Duero</t>
  </si>
  <si>
    <t>lago de Bious-Artigues</t>
  </si>
  <si>
    <t>https://www.google.com/maps/place/Lac+de+Bious-Artigues/@42.8659717,-0.4586764,1593m/data=!3m2!1e3!4b1!4m6!3m5!1s0xd57a2abb9e45837:0xeed955ed2599ad64!8m2!3d42.8678343!4d-0.4530454!16s%2Fm%2F05mxhyz?hl=es-ES&amp;entry=ttu&amp;g_ep=EgoyMDI2MDcxNS4wIKXMDSoASAFQAw%3D%3D</t>
  </si>
  <si>
    <t>https://www.google.com/maps/place/Refugio+Pombie/@42.8355432,-0.4294859,797m/data=!3m2!1e3!4b1!4m9!3m8!1s0xd5797bc85cc32dd:0x99f46dd05aaa488c!5m2!4m1!1i2!8m2!3d42.8355393!4d-0.426911!16s%2Fg%2F122cc15c?hl=es-ES&amp;entry=ttu&amp;g_ep=EgoyMDI2MDcxNS4wIKXMDSoASAFQAw%3D%3D</t>
  </si>
  <si>
    <t>Refugio de Pombie</t>
  </si>
  <si>
    <t>https://www.google.com/maps/place/Refugio+de+Viad%C3%B3s/@42.660696,0.374645,799m/data=!3m2!1e3!4b1!4m6!3m5!1s0x12a8717daad4ae7d:0xcc729d66691677d7!8m2!3d42.6606921!4d0.3772199!16s%2Fg%2F11b5wmk6m8?hl=es-ES&amp;entry=ttu&amp;g_ep=EgoyMDI2MDcxNS4wIKXMDSoASAFQAw%3D%3D</t>
  </si>
  <si>
    <t xml:space="preserve">Valle de Ordiso
</t>
  </si>
  <si>
    <t>Pico Bernatuara</t>
  </si>
  <si>
    <t>https://www.google.com/maps/place/Camping+Valle+de+Bujaruelo/@42.6772647,-0.1264281,799m/data=!3m2!1e3!4b1!4m9!3m8!1s0xd57f981cf0c7313:0x5628c71e40778cd0!5m2!4m1!1i2!8m2!3d42.6772608!4d-0.1238532!16s%2Fg%2F11_s5mb4n?hl=es-ES&amp;entry=ttu&amp;g_ep=EgoyMDI2MDcxNS4wIKXMDSoASAFQAw%3D%3D</t>
  </si>
  <si>
    <t>Bujaruelo</t>
  </si>
  <si>
    <t xml:space="preserve">Ermitas de Bonansa
</t>
  </si>
  <si>
    <t>Turbón</t>
  </si>
  <si>
    <t>Bonansa</t>
  </si>
  <si>
    <t>https://www.google.com/maps/place/Alto+de+Bonansa/@42.4243928,0.6460214,802m/data=!3m1!1e3!4m14!1m7!3m6!1s0x12a62daefb08c2d7:0x71ae3a9e99619d2b!2sAlto+de+Bonansa!8m2!3d42.4243928!4d0.6460214!16s%2Fg%2F11hc_tbpw6!3m5!1s0x12a62daefb08c2d7:0x71ae3a9e99619d2b!8m2!3d42.4243928!4d0.6460214!16s%2Fg%2F11hc_tbpw6?entry=ttu&amp;g_ep=EgoyMDI2MDcxNS4wIKXMDSoASAFQAw%3D%3D</t>
  </si>
  <si>
    <t>Roda Isabena</t>
  </si>
  <si>
    <t>https://www.google.com/maps/place/22482+Roda+de+Is%C3%A1bena,+Huesca/@42.2909468,0.5275011,402m/data=!3m2!1e3!4b1!4m6!3m5!1s0x12a7cbdeee4cbc21:0xa018c67a2b5f5d0!8m2!3d42.291412!4d0.5284408!16s%2Fm%2F02z0962?hl=es-ES&amp;entry=ttu&amp;g_ep=EgoyMDI2MDcxNS4wIKXMDSoASAFQAw%3D%3D</t>
  </si>
  <si>
    <t>Curso de orientación y cartografía en Zaragoza</t>
  </si>
  <si>
    <t>Puertolas</t>
  </si>
  <si>
    <t>https://www.google.com/maps/place/Pu%C3%A9rtolas,+Huesca/@42.5473753,0.1308246,400m/data=!3m2!1e3!4b1!4m6!3m5!1s0x12a7fd5e410130d9:0x4f30d735192d55bc!8m2!3d42.5475135!4d0.1322418!16s%2Fm%2F02z9pdy?hl=es-ES&amp;entry=ttu&amp;g_ep=EgoyMDI2MDcxNS4wIKXMDSoASAFQAw%3D%3D</t>
  </si>
  <si>
    <t>curso</t>
  </si>
  <si>
    <t>https://www.google.com/maps/place/Zaragoza/@41.651748,-0.9361804,12993m/data=!3m2!1e3!4b1!4m6!3m5!1s0xd5914dd5e618e91:0x49df13f1158489a8!8m2!3d41.6474339!4d-0.8861451!16zL20vMGg1bTc?hl=es-ES&amp;entry=ttu&amp;g_ep=EgoyMDI2MDcxNS4wIKXMDSoASAFQAw%3D%3D</t>
  </si>
  <si>
    <t>https://www.google.com/maps/place/26131+San+Bartolom%C3%A9+de+Jubera,+La+Rioja/@42.312874,-2.3068731,804m/data=!3m2!1e3!4b1!4m6!3m5!1s0xd5ab09f98206b27:0xefba3d144b2d55ad!8m2!3d42.3128532!4d-2.3042472!16s%2Fg%2F11xcfnw1c?hl=es-ES&amp;entry=ttu&amp;g_ep=EgoyMDI2MDcxNS4wIKXMDSoASAFQAw%3D%3D</t>
  </si>
  <si>
    <t>San Martin de Jubera</t>
  </si>
  <si>
    <t>La Rioja</t>
  </si>
  <si>
    <t>Laguardia</t>
  </si>
  <si>
    <t>https://www.google.com/maps/place/01300+Laguardia,+%C3%81lava/@42.5532611,-2.5899448,3202m/data=!3m2!1e3!4b1!4m6!3m5!1s0xd4ff8572f8df239:0xfd5c4c3e6e8a84e8!8m2!3d42.5535069!4d-2.5841047!16s%2Fg%2F11cn5p_mxv?hl=es-ES&amp;entry=ttu&amp;g_ep=EgoyMDI2MDcxNS4wIKXMDSoASAFQAw%3D%3D</t>
  </si>
  <si>
    <t>Santa Eulalia de la Peña</t>
  </si>
  <si>
    <t>https://www.google.com/maps/place/22150+Santa+Eulalia+de+la+Pe%C3%B1a,+Huesca/@42.2623316,-0.4062867,201m/data=!3m2!1e3!4b1!4m6!3m5!1s0xd5838f106cdaac5:0x5902d675cdf05483!8m2!3d42.2622653!4d-0.405588!16s%2Fg%2F121yn5dg?hl=es-ES&amp;entry=ttu&amp;g_ep=EgoyMDI2MDcxNS4wIKXMDSoASAFQAw%3D%3D</t>
  </si>
  <si>
    <t>Bentué de Nocito</t>
  </si>
  <si>
    <t>https://www.google.com/maps/place/22623+Bentu%C3%A9+de+Nocito,+Huesca/@42.3253716,-0.21917,804m/data=!3m2!1e3!4b1!4m6!3m5!1s0xd58114fc4b2f17b:0xb12244a1c4b0ae57!8m2!3d42.3256686!4d-0.2159665!16s%2Fg%2F122_gmk_?hl=es-ES&amp;entry=ttu&amp;g_ep=EgoyMDI2MDcxNS4wIKXMDSoASAFQAw%3D%3D</t>
  </si>
  <si>
    <t>Cosuenda</t>
  </si>
  <si>
    <t>https://www.google.com/maps/place/50409+Cosuenda,+Zaragoza/@41.3662966,-1.3041333,1631m/data=!3m2!1e3!4b1!4m6!3m5!1s0xd5bfbefd4ba34c7:0xddd74080225bb420!8m2!3d41.3650739!4d-1.299939!16s%2Fm%2F02z9t4k?hl=es-ES&amp;entry=ttu&amp;g_ep=EgoyMDI2MDcxNS4wIKXMDSoASAFQAw%3D%3D</t>
  </si>
  <si>
    <t>https://www.google.com/maps/place/50150+Herrera+de+los+Navarros,+Zaragoza/@41.2093632,-1.0853411,818m/data=!3m2!1e3!4b1!4m6!3m5!1s0xd5eadc40b0e10e9:0x141fab71a79fcd15!8m2!3d41.2100021!4d-1.0821616!16s%2Fm%2F02z9tfv?entry=ttu&amp;g_ep=EgoyMDI2MDcxNS4wIKXMDSoASAFQAw%3D%3D</t>
  </si>
  <si>
    <t>https://www.google.com/maps/place/22144+Las+Almunias,+Huesca/@42.2560521,-0.072136,804m/data=!3m2!1e3!4b1!4m6!3m5!1s0xd580b6757b36ce5:0xe3f907bd02876b4d!8m2!3d42.2561015!4d-0.0695672!16s%2Fg%2F121762y7?entry=ttu&amp;g_ep=EgoyMDI2MDcxNS4wIKXMDSoASAFQAw%3D%3D</t>
  </si>
  <si>
    <t>Las Almunias de Rodellar</t>
  </si>
  <si>
    <t>https://www.google.com/maps/place/Selva+de+Oza/@42.7024541,-0.7622188,3195m/data=!3m2!1e3!4b1!4m6!3m5!1s0xd577aab1e2b1f8d:0xa66c4bc872e4f05!8m2!3d42.7024393!4d-0.7519191!16s%2Fg%2F122pkwd6?entry=ttu&amp;g_ep=EgoyMDI2MDcxNS4wIKXMDSoASAFQAw%3D%3D</t>
  </si>
  <si>
    <t>https://www.google.com/maps/place/Zaragoza/@41.651748,-0.9361804,12993m/data=!3m2!1e3!4b1!4m6!3m5!1s0xd5914dd5e618e91:0x49df13f1158489a8!8m2!3d41.6474339!4d-0.8861451!16zL20vMGg1bTc?entry=ttu&amp;g_ep=EgoyMDI2MDcxNS4wIKXMDSoASAFQAw%3D%3D</t>
  </si>
  <si>
    <t xml:space="preserve">Lescún (RGP)
</t>
  </si>
  <si>
    <t>Castanesa</t>
  </si>
  <si>
    <t>Lescún</t>
  </si>
  <si>
    <t>Jaca</t>
  </si>
  <si>
    <t>https://www.google.com/maps/place/64490+Lescun,+Francia/@42.9166081,-0.7142477,12735m/data=!3m2!1e3!4b1!4m6!3m5!1s0xd570a2f44f87319:0x5553c49d66888ab2!8m2!3d42.934072!4d-0.63505!16zL20vMDNxcHN5?entry=ttu&amp;g_ep=EgoyMDI2MDcxNS4wIKXMDSoASAFQAw%3D%3D</t>
  </si>
  <si>
    <t>https://www.google.com/maps/place/22700+Jaca,+Huesca/@42.5726321,-0.5583933,3201m/data=!3m2!1e3!4b1!4m6!3m5!1s0xd5780ec767847ed:0x196f61f8bc9a1be2!8m2!3d42.5717166!4d-0.5470554!16zL20vMDNzZjU1?entry=ttu&amp;g_ep=EgoyMDI2MDcxNS4wIKXMDSoASAFQAw%3D%3D</t>
  </si>
  <si>
    <t>https://www.google.com/maps/place/22474+Castanesa,+Huesca/@42.4979591,0.6597134,401m/data=!3m2!1e3!4b1!4m6!3m5!1s0x12a62bc65161e327:0xd128e4f99382acde!8m2!3d42.4978605!4d0.6615931!16s%2Fg%2F120l310r?entry=ttu&amp;g_ep=EgoyMDI2MDcxNS4wIKXMDSoASAFQAw%3D%3D</t>
  </si>
  <si>
    <t>2021_06_01</t>
  </si>
  <si>
    <t>Bergua</t>
  </si>
  <si>
    <t>2021_05_01</t>
  </si>
  <si>
    <t>2020_12_01</t>
  </si>
  <si>
    <t>Calmarza</t>
  </si>
  <si>
    <t>2020_06_01</t>
  </si>
  <si>
    <t>Santuario del Moncayo</t>
  </si>
  <si>
    <t>2020_02_01</t>
  </si>
  <si>
    <t>Puerto del Portalet</t>
  </si>
  <si>
    <t>2020_01_01</t>
  </si>
  <si>
    <t>Bruello</t>
  </si>
  <si>
    <t>2019_12_01</t>
  </si>
  <si>
    <t>Arguis</t>
  </si>
  <si>
    <t>2019_11_01</t>
  </si>
  <si>
    <t>Acumuer-Larrosa</t>
  </si>
  <si>
    <t>Acumuer</t>
  </si>
  <si>
    <t>2019_10_01</t>
  </si>
  <si>
    <t>2019_09_01</t>
  </si>
  <si>
    <t>Carros de Foc</t>
  </si>
  <si>
    <t>Planell d'Aigües Tortes/ Bohí</t>
  </si>
  <si>
    <t>Valle de Otal</t>
  </si>
  <si>
    <t>2019_08_01</t>
  </si>
  <si>
    <t>Laxe</t>
  </si>
  <si>
    <t>2019_07_01</t>
  </si>
  <si>
    <t>Travesía Gavarnie día 1</t>
  </si>
  <si>
    <t>Travesía Gavarnie día 2</t>
  </si>
  <si>
    <t>Gavarníe</t>
  </si>
  <si>
    <t>2019_06_01</t>
  </si>
  <si>
    <t>Valle de Barrosa</t>
  </si>
  <si>
    <t>2019_05_01</t>
  </si>
  <si>
    <t>Vilas del Turbón</t>
  </si>
  <si>
    <t>Sierra de Sis</t>
  </si>
  <si>
    <t>Beranuy</t>
  </si>
  <si>
    <t>2019_04_01</t>
  </si>
  <si>
    <t>Calatayud</t>
  </si>
  <si>
    <t>2019_03_01</t>
  </si>
  <si>
    <t>2019_02_01</t>
  </si>
  <si>
    <t>Montserrat</t>
  </si>
  <si>
    <t>Lizara</t>
  </si>
  <si>
    <t>2019_01_01</t>
  </si>
  <si>
    <t>Loarre</t>
  </si>
  <si>
    <t>2018_12_01</t>
  </si>
  <si>
    <t>Torralba de los Frailes</t>
  </si>
  <si>
    <t>2018_11_01</t>
  </si>
  <si>
    <t>El Espinar</t>
  </si>
  <si>
    <t>Majaelrayo</t>
  </si>
  <si>
    <t>2018_10_01</t>
  </si>
  <si>
    <t>Riglos</t>
  </si>
  <si>
    <t>2018_09_01</t>
  </si>
  <si>
    <t>Hospice de France</t>
  </si>
  <si>
    <t>2018_08_01</t>
  </si>
  <si>
    <t>Pobra de Trives</t>
  </si>
  <si>
    <t>2018_07_01</t>
  </si>
  <si>
    <t>Zuriza</t>
  </si>
  <si>
    <t>2018_06_01</t>
  </si>
  <si>
    <t>Zugarramurdi</t>
  </si>
  <si>
    <t>2018_05_01</t>
  </si>
  <si>
    <t>Samitier</t>
  </si>
  <si>
    <t>Amazorre</t>
  </si>
  <si>
    <t>2018_04_01</t>
  </si>
  <si>
    <t>Alquezar</t>
  </si>
  <si>
    <t>2018_03_01</t>
  </si>
  <si>
    <t>Belsué</t>
  </si>
  <si>
    <t>2018_02_01</t>
  </si>
  <si>
    <t>Nerín</t>
  </si>
  <si>
    <t>2018_01_01</t>
  </si>
  <si>
    <t>2017_12_01</t>
  </si>
  <si>
    <t>Alcaine</t>
  </si>
  <si>
    <t>2017_11_01</t>
  </si>
  <si>
    <t>Candanchú</t>
  </si>
  <si>
    <t>2017_10_01</t>
  </si>
  <si>
    <t>Monroyo</t>
  </si>
  <si>
    <t>2017_09_01</t>
  </si>
  <si>
    <t>Morillo de Tou</t>
  </si>
  <si>
    <t xml:space="preserve">Circo Gurrrundue </t>
  </si>
  <si>
    <t>Revilla</t>
  </si>
  <si>
    <t>2017_07_01</t>
  </si>
  <si>
    <t>Parking la Cleta (Aísa)</t>
  </si>
  <si>
    <t>2017_06_01</t>
  </si>
  <si>
    <t>Refugio de Linza (Ansó)</t>
  </si>
  <si>
    <t>2017_05_01</t>
  </si>
  <si>
    <t>Jaraíz de la Vera</t>
  </si>
  <si>
    <t>Parking Fuente del Paco (Villanúa)</t>
  </si>
  <si>
    <t>2017_04_01</t>
  </si>
  <si>
    <t>Peña Canciás (intento)</t>
  </si>
  <si>
    <t>Ruta Serrablo (RGP)</t>
  </si>
  <si>
    <t>Sabiñánigo</t>
  </si>
  <si>
    <t>2017_03_01</t>
  </si>
  <si>
    <t>2017_02_01</t>
  </si>
  <si>
    <t>Aísa</t>
  </si>
  <si>
    <t>2017_01_01</t>
  </si>
  <si>
    <t>Fiscal</t>
  </si>
  <si>
    <t>2016_12_01</t>
  </si>
  <si>
    <t>Vadiello</t>
  </si>
  <si>
    <t>2016_11_01</t>
  </si>
  <si>
    <t>Corduente</t>
  </si>
  <si>
    <t>2016_10_01</t>
  </si>
  <si>
    <t>Refugio de Lizara</t>
  </si>
  <si>
    <t>2016_09_01</t>
  </si>
  <si>
    <t>Ibones de Millás</t>
  </si>
  <si>
    <t>Refugio de Viadós</t>
  </si>
  <si>
    <t>Bachimala</t>
  </si>
  <si>
    <t>2016_06_01</t>
  </si>
  <si>
    <t>Sierra de Urbasa</t>
  </si>
  <si>
    <t>2016_05_01</t>
  </si>
  <si>
    <t>La Caixa y Perigañol</t>
  </si>
  <si>
    <t>Beceite</t>
  </si>
  <si>
    <t>Circular estrechos de Arnes</t>
  </si>
  <si>
    <t>Arnes</t>
  </si>
  <si>
    <t>2016_04_01</t>
  </si>
  <si>
    <t>2016_02_01</t>
  </si>
  <si>
    <t>Canfranc-Estación</t>
  </si>
  <si>
    <t>2016_01_01</t>
  </si>
  <si>
    <t>Peracense</t>
  </si>
  <si>
    <t>2015_12_01</t>
  </si>
  <si>
    <t>Montalbán</t>
  </si>
  <si>
    <t>2015_11_01</t>
  </si>
  <si>
    <t>2015_10_01</t>
  </si>
  <si>
    <t>Pico Maze</t>
  </si>
  <si>
    <t>Mesa de los Tres Reyes  (Panteres Grogues)</t>
  </si>
  <si>
    <t>2015_09_01</t>
  </si>
  <si>
    <t>Valle de Pineta</t>
  </si>
  <si>
    <t>Embalse de Pineta</t>
  </si>
  <si>
    <t>San Juan de Plan (circular)</t>
  </si>
  <si>
    <t>Plan</t>
  </si>
  <si>
    <t>2015_07_01</t>
  </si>
  <si>
    <t>Lagos Azules</t>
  </si>
  <si>
    <t>Baños de Panticosa</t>
  </si>
  <si>
    <t>Picos Infiernos</t>
  </si>
  <si>
    <t>2015_06_01</t>
  </si>
  <si>
    <t>Barranco Fornos</t>
  </si>
  <si>
    <t>Badaín</t>
  </si>
  <si>
    <t>Puértolas</t>
  </si>
  <si>
    <t>2015_05_01</t>
  </si>
  <si>
    <t>Mesón de Mescún</t>
  </si>
  <si>
    <t>Santa Eulalia la Mayor</t>
  </si>
  <si>
    <t>Vadiello hacia Nocito (G Madrid)</t>
  </si>
  <si>
    <t>2015_04_01</t>
  </si>
  <si>
    <t>Encuentro de Montaña:  Bal d'Onsera</t>
  </si>
  <si>
    <t>San Julián de Banzo</t>
  </si>
  <si>
    <t>Acebal de Garagüeta (Soria)</t>
  </si>
  <si>
    <t>Arévalo de la Sierra</t>
  </si>
  <si>
    <t>2015_03_01</t>
  </si>
  <si>
    <t>Gabas</t>
  </si>
  <si>
    <t>2015_02_01</t>
  </si>
  <si>
    <t>Cornudella</t>
  </si>
  <si>
    <t>Túnel de Cotefablo</t>
  </si>
  <si>
    <t>2015_01_01</t>
  </si>
  <si>
    <t>Esqui de fondo</t>
  </si>
  <si>
    <t>Esquí de fondo Somport</t>
  </si>
  <si>
    <t>Estrechos de Albalate</t>
  </si>
  <si>
    <t>Pente del Batán, Albalate del Arzobispo</t>
  </si>
  <si>
    <t>2014_12_01</t>
  </si>
  <si>
    <t>Colungo</t>
  </si>
  <si>
    <t>2014_11_01</t>
  </si>
  <si>
    <t>Barranco de Sieste</t>
  </si>
  <si>
    <t>Sieste</t>
  </si>
  <si>
    <t>Peña Canciás (intento)  (Panteres Grogues)</t>
  </si>
  <si>
    <t>2014_10_01</t>
  </si>
  <si>
    <t>Leire</t>
  </si>
  <si>
    <t>2014_09_01</t>
  </si>
  <si>
    <t>La Estiva</t>
  </si>
  <si>
    <t>Parador de Bielsa</t>
  </si>
  <si>
    <t>Balcón de Pineta</t>
  </si>
  <si>
    <t>2014_07_01</t>
  </si>
  <si>
    <t>2014_06_01</t>
  </si>
  <si>
    <t>Refugio Santa Isabel, Saravillo</t>
  </si>
  <si>
    <t>2014_05_01</t>
  </si>
  <si>
    <t>Nocito</t>
  </si>
  <si>
    <t>Leciñena (RGP)</t>
  </si>
  <si>
    <t>Leciñena</t>
  </si>
  <si>
    <t>Salto del Roldán (RGP)</t>
  </si>
  <si>
    <t>2014_04_01</t>
  </si>
  <si>
    <t>Montsec</t>
  </si>
  <si>
    <t>Estall (Tolva)</t>
  </si>
  <si>
    <t>Mont-Rebei</t>
  </si>
  <si>
    <t>Albergue de Montfalcó</t>
  </si>
  <si>
    <t>2014_03_01</t>
  </si>
  <si>
    <t>2014_02_01</t>
  </si>
  <si>
    <t>Puente de los Navarros (Ordesa)</t>
  </si>
  <si>
    <t>2014_01_01</t>
  </si>
  <si>
    <t>Biel</t>
  </si>
  <si>
    <t>2013_12_01</t>
  </si>
  <si>
    <t>Cucalón</t>
  </si>
  <si>
    <t>2013_11_01</t>
  </si>
  <si>
    <t>2013_10_01</t>
  </si>
  <si>
    <t>Betorz</t>
  </si>
  <si>
    <t>Travesía Benasque- la Glera día 1</t>
  </si>
  <si>
    <t>Llanos del Hospital</t>
  </si>
  <si>
    <t>2013_09_01</t>
  </si>
  <si>
    <t>Redolada Gran Facha 2</t>
  </si>
  <si>
    <t>Refugio de Bachimala</t>
  </si>
  <si>
    <t>Redolada Gran Facha 3</t>
  </si>
  <si>
    <t>2013_07_01</t>
  </si>
  <si>
    <t>Redolada Gran Facha 4</t>
  </si>
  <si>
    <t>2013_06_01</t>
  </si>
  <si>
    <t>La Muera</t>
  </si>
  <si>
    <t>2013_05_01</t>
  </si>
  <si>
    <t>Vuelta al Masmut  (Panteres Grogues)</t>
  </si>
  <si>
    <t>Peñarroya de Tastavins</t>
  </si>
  <si>
    <t>Peñagalera (Panteres Grogues)</t>
  </si>
  <si>
    <t>2013_04_01</t>
  </si>
  <si>
    <t>Sierra de Cantabria</t>
  </si>
  <si>
    <t>Peñas Islallana</t>
  </si>
  <si>
    <t>Islallana</t>
  </si>
  <si>
    <t>2013_03_01</t>
  </si>
  <si>
    <t>Bilhères (Francia)</t>
  </si>
  <si>
    <t>2013_02_01</t>
  </si>
  <si>
    <t>Salinas de Jaca</t>
  </si>
  <si>
    <t>2013_01_01</t>
  </si>
  <si>
    <t>2012_12_01</t>
  </si>
  <si>
    <t>Sierra d'Espadá, Onda, Castellón  (Panteres Grogues)</t>
  </si>
  <si>
    <t>Cirat</t>
  </si>
  <si>
    <t>Onda</t>
  </si>
  <si>
    <t>2012_10_01</t>
  </si>
  <si>
    <t>2012_09_01</t>
  </si>
  <si>
    <t>2012_07_01</t>
  </si>
  <si>
    <t>2012_06_01</t>
  </si>
  <si>
    <t>Aguastuertas</t>
  </si>
  <si>
    <t>Parking de Guarrinza (Selva de Oza)</t>
  </si>
  <si>
    <t>2012_05_01</t>
  </si>
  <si>
    <t>2012_04_01</t>
  </si>
  <si>
    <t>Oncins</t>
  </si>
  <si>
    <t>2012_03_01</t>
  </si>
  <si>
    <t>2012_02_01</t>
  </si>
  <si>
    <t>Obón</t>
  </si>
  <si>
    <t>2012_01_01</t>
  </si>
  <si>
    <t>2011_12_01</t>
  </si>
  <si>
    <t>Farlete</t>
  </si>
  <si>
    <t>2011_11_01</t>
  </si>
  <si>
    <t>Oliván</t>
  </si>
  <si>
    <t>2011_10_01</t>
  </si>
  <si>
    <t>Bielsa</t>
  </si>
  <si>
    <t>2011_09_01</t>
  </si>
  <si>
    <t>Lagos de Ayous  (RGP) 1er día</t>
  </si>
  <si>
    <t>Bious-Artigues</t>
  </si>
  <si>
    <t>Lagos de Ayous  (RGP) 2º día</t>
  </si>
  <si>
    <t>Réfuge d'Ayous</t>
  </si>
  <si>
    <t>2011_07_01</t>
  </si>
  <si>
    <t>Sallent de Gállego</t>
  </si>
  <si>
    <t>Travesía Candanchú-Lizara</t>
  </si>
  <si>
    <t>Ascensión al Bisaurín</t>
  </si>
  <si>
    <t>Lizara-Canfranc por el Bozo</t>
  </si>
  <si>
    <t>2011_06_01</t>
  </si>
  <si>
    <t>2011_05_01</t>
  </si>
  <si>
    <t>GR92 (Panteres Grogues) día 1</t>
  </si>
  <si>
    <t>L'Ampolla</t>
  </si>
  <si>
    <t>GR92 (Panteres Grogues) día 2</t>
  </si>
  <si>
    <t>L'Ametlla</t>
  </si>
  <si>
    <t>2011_04_01</t>
  </si>
  <si>
    <t>2011_03_01</t>
  </si>
  <si>
    <t>2011_02_01</t>
  </si>
  <si>
    <t>Yebra de Basa</t>
  </si>
  <si>
    <t>2011_01_01</t>
  </si>
  <si>
    <t>2010_12_01</t>
  </si>
  <si>
    <t>2010_11_01</t>
  </si>
  <si>
    <t>Talamantes</t>
  </si>
  <si>
    <t>2010_10_01</t>
  </si>
  <si>
    <t>Petrechema</t>
  </si>
  <si>
    <t>Calzada romana</t>
  </si>
  <si>
    <t>Siresa</t>
  </si>
  <si>
    <t>2010_09_01</t>
  </si>
  <si>
    <t>2010_06_01</t>
  </si>
  <si>
    <t>2010_05_01</t>
  </si>
  <si>
    <t>Calomarde</t>
  </si>
  <si>
    <t>2010_04_01</t>
  </si>
  <si>
    <t>2010_03_01</t>
  </si>
  <si>
    <t>Tramacastilla</t>
  </si>
  <si>
    <t>2010_02_01</t>
  </si>
  <si>
    <t>2010_01_01</t>
  </si>
  <si>
    <t>2009_12_01</t>
  </si>
  <si>
    <t>2009_10_01</t>
  </si>
  <si>
    <t>2009_07_01</t>
  </si>
  <si>
    <t>Collado del Bozo</t>
  </si>
  <si>
    <t>Valle de los Sarrios-Estanés</t>
  </si>
  <si>
    <t>2009_06_01</t>
  </si>
  <si>
    <t>2009_05_01</t>
  </si>
  <si>
    <t>San Nicolás de Bujaruelo</t>
  </si>
  <si>
    <t>2009_04_01</t>
  </si>
  <si>
    <t>Pitarque</t>
  </si>
  <si>
    <t>2009_03_01</t>
  </si>
  <si>
    <t>Castillo de Loarre</t>
  </si>
  <si>
    <t>2009_02_01</t>
  </si>
  <si>
    <t>2009_01_01</t>
  </si>
  <si>
    <t>2008_11_01</t>
  </si>
  <si>
    <t>Tiermas</t>
  </si>
  <si>
    <t>2008_10_01</t>
  </si>
  <si>
    <t>2008_07_01</t>
  </si>
  <si>
    <t>La Besurta (Benasque)</t>
  </si>
  <si>
    <t>2008_06_01</t>
  </si>
  <si>
    <t>Vilanúa</t>
  </si>
  <si>
    <t>2008_05_01</t>
  </si>
  <si>
    <t>2008_04_01</t>
  </si>
  <si>
    <t>2008_03_01</t>
  </si>
  <si>
    <t>2008_02_01</t>
  </si>
  <si>
    <t>2008_01_01</t>
  </si>
  <si>
    <t>2007_01_01</t>
  </si>
  <si>
    <t>2006_01_01</t>
  </si>
  <si>
    <t>https://www.google.com/maps/place/22373+Bergua,+Huesca/@42.5337973,-0.1738452,838m/data=!3m2!1e3!4b1!4m6!3m5!1s0xd581d6ba7afb1a7:0x9488aaf75955c809!8m2!3d42.5330576!4d-0.1711542!16s%2Fg%2F1215pksr?authuser=0&amp;entry=ttu&amp;g_ep=EgoyMDI2MDcyOS4wIKXMDSoASAFQAw%3D%3D</t>
  </si>
  <si>
    <t>https://www.google.com/maps/place/Zaragoza/@41.651748,-0.9361803,13592m/data=!3m2!1e3!4b1!4m6!3m5!1s0xd5914dd5e618e91:0x49df13f1158489a8!8m2!3d41.6474339!4d-0.8861451!16zL20vMGg1bTc?authuser=0&amp;entry=ttu&amp;g_ep=EgoyMDI2MDcyOS4wIKXMDSoASAFQAw%3D%3D</t>
  </si>
  <si>
    <t>google.com/maps/place/50238+Calmarza,+Zaragoza/@41.1581296,-1.9144475,856m/data=!3m1!1e3!4m6!3m5!1s0xd5c84271852b277:0x6a08793e87e78037!8m2!3d41.1576553!4d-1.9117557!16s%2Fm%2F02z9szc?authuser=0&amp;entry=ttu&amp;g_ep=EgoyMDI2MDcyOS4wIKXMDSoASAFQAw%3D%3D</t>
  </si>
  <si>
    <t>https://www.google.com/maps/place/Restaurante+Santuario+del+Moncayo/@41.7904033,-1.8201557,848m/data=!3m2!1e3!4b1!4m6!3m5!1s0xd5bacc83cc2a21f:0x56aee2604d661196!8m2!3d41.7903993!4d-1.8175808!16s%2Fg%2F1tjdhjg6?authuser=0&amp;entry=ttu&amp;g_ep=EgoyMDI2MDcyOS4wIKXMDSoASAFQAw%3D%3D</t>
  </si>
  <si>
    <t>https://www.google.com/maps/place/22640+Portalet+d'Aneu,+Huesca/@42.8051547,-0.4289697,3337m/data=!3m2!1e3!4b1!4m6!3m5!1s0xd57971897574453:0x9b354a2f7ab7cb7d!8m2!3d42.80514!4d-0.41867!16s%2Fg%2F1q67j1vjf?authuser=0&amp;entry=ttu&amp;g_ep=EgoyMDI2MDcyOS4wIKXMDSoASAFQAw%3D%3D</t>
  </si>
  <si>
    <t>https://www.google.com/maps/place/Bruello/@42.388426,0.1245092,840m/data=!3m2!1e3!4b1!4m6!3m5!1s0x12a7f1fffc3d09e9:0x745af43dc1060d7a!8m2!3d42.3884221!4d0.1270841!16s%2Fg%2F11v6swprjz?authuser=0&amp;entry=ttu&amp;g_ep=EgoyMDI2MDcyOS4wIKXMDSoASAFQAw%3D%3D</t>
  </si>
  <si>
    <t>https://www.google.com/maps/place/22150+Arguis,+Huesca/@42.3152901,-0.4392753,420m/data=!3m2!1e3!4b1!4m6!3m5!1s0xd583a1d99a6babb:0xe93703a3d30b4f29!8m2!3d42.3148776!4d-0.4390353!16s%2Fm%2F02z9nc5?authuser=0&amp;entry=ttu&amp;g_ep=EgoyMDI2MDgwNC4wIKXMDSoASAFQAw%3D%3D</t>
  </si>
  <si>
    <t>https://www.google.com/maps/place/22612+Acumuer,+Huesca/@42.6208728,-0.4094308,837m/data=!3m2!1e3!4b1!4m6!3m5!1s0xd57892f2397ade1:0x5743922bbc977fc1!8m2!3d42.6208215!4d-0.4070695!16s%2Fg%2F1226mn6y?authuser=0&amp;entry=ttu&amp;g_ep=EgoyMDI2MDgwNC4wIKXMDSoASAFQAw%3D%3D</t>
  </si>
  <si>
    <t>https://www.google.com/maps/place/22376+Torla-Ordesa,+Huesca/@42.6492968,-0.0622009,663m/data=!3m2!1e3!4b1!4m14!1m7!3m6!1s0xd57f97fef4bbd47:0x67660d37ea442976!2sParque+Nacional+de+Ordesa+y+Monte+Perdido!8m2!3d42.6468705!4d0.0349001!16zL20vMGZkZmhx!3m5!1s0xd57fc6b51bfbafb:0x3e95fe7bb6a2bd91!8m2!3d42.6492937!4d-0.0601597!16s%2Fg%2F11g620_4yg?authuser=0&amp;entry=ttu&amp;g_ep=EgoyMDI2MDgwNC4wIKXMDSoASAFQAw%3D%3D</t>
  </si>
  <si>
    <t>https://www.google.com/maps/place/Planell+d'Aig%C3%BCestortes/@42.5725097,0.9194811,3349m/data=!3m2!1e3!4b1!4m6!3m5!1s0x12a8a0441c64a125:0x2e6ae824e563ecf2!8m2!3d42.5724949!4d0.9297808!16s%2Fg%2F11h55zn6_v?authuser=0&amp;entry=ttu&amp;g_ep=EgoyMDI2MDgwNC4wIKXMDSoASAFQAw%3D%3D</t>
  </si>
  <si>
    <t>https://www.google.com/maps/place/Ermita+de+San+Nicol%C3%A1s+de+Bujaruelo.+Ruinas/@42.6958103,-0.1129619,836m/data=!3m1!1e3!4m10!1m2!2m1!1ssan+nicol%C3%A1s+de+bujaruelo!3m6!1s0xd57fb242552ae0d:0x669dbb918c575db4!8m2!3d42.6946767!4d-0.1067352!15sChlzYW4gbmljb2zDoXMgZGUgYnVqYXJ1ZWxvWhsiGXNhbiBuaWNvbMOhcyBkZSBidWphcnVlbG-SARNoaXN0b3JpY2FsX2xhbmRtYXJrmgFEQ2k5RFFVbFJRVU52WkVOb2RIbGpSamx2VDJwa01GSXphSE5qTVU1c1UxVjRZVlF5WkhkU2JsRXdUVEJ3U1UxdVl4QULgAQD6AQQIABAo!16s%2Fg%2F11bx894cwn?authuser=0&amp;entry=ttu&amp;g_ep=EgoyMDI2MDgwNC4wIKXMDSoASAFQAw%3D%3D</t>
  </si>
  <si>
    <t>https://www.google.com/maps/place/Lage,+La+Coru%C3%B1a/@43.218955,-9.0144888,3314m/data=!3m2!1e3!4b1!4m6!3m5!1s0xd2eba0c140674e9:0xc9ee12504e1e7f9d!8m2!3d43.2212167!4d-9.0063506!16zL20vMGRoNzFm?authuser=0&amp;entry=ttu&amp;g_ep=EgoyMDI2MDgwNC4wIKXMDSoASAFQAw%3D%3D</t>
  </si>
  <si>
    <t>https://www.google.com/maps/place/Gavarnie,+65120+Gavarnie-G%C3%A8dre,+Francia/@42.73548,-0.1013479,13361m/data=!3m2!1e3!4b1!4m6!3m5!1s0xd57e29beb90fb3d:0xf0e9037e9414b0b4!8m2!3d42.732219!4d-0.00941!16zL20vMGNmOGdw?authuser=0&amp;entry=ttu&amp;g_ep=EgoyMDI2MDgwNC4wIKXMDSoASAFQAw%3D%3D</t>
  </si>
  <si>
    <t>https://www.google.com/maps/place/Valle+de+Barrosa/@42.7040366,0.1942349,835m/data=!3m2!1e3!4b1!4m6!3m5!1s0x12a80f6fa078ee93:0xfa89c050e081303f!8m2!3d42.7040327!4d0.1968098!16s%2Fg%2F11k3kqt572?authuser=0&amp;entry=ttu&amp;g_ep=EgoyMDI2MDgwNC4wIKXMDSoASAFQAw%3D%3D</t>
  </si>
  <si>
    <t>https://www.google.com/maps/place/22451+Las+Vilas+del+Turb%C3%B3n,+Huesca/@42.3995875,0.5199668,3358m/data=!3m2!1e3!4b1!4m6!3m5!1s0x12a7d2038691f26d:0xd02a3356788bfa43!8m2!3d42.3995727!4d0.5302665!16s%2Fg%2F11y8sp6nn?authuser=0&amp;entry=ttu&amp;g_ep=EgoyMDI2MDgxNi4wIKXMDSoASAFQAw%3D%3D</t>
  </si>
  <si>
    <t>https://www.google.com/maps/place/22484+Beran%C3%BAy,+Huesca/@42.3670477,0.5917876,840m/data=!3m2!1e3!4b1!4m6!3m5!1s0x12a7cd30d809a541:0x3ed458dae895e82b!8m2!3d42.3669415!4d0.5942218!16s%2Fm%2F0gjdc49?authuser=0&amp;entry=ttu&amp;g_ep=EgoyMDI2MDgxNi4wIKXMDSoASAFQAw%3D%3D</t>
  </si>
  <si>
    <t>https://www.google.com/maps/place/Calatayud,+Zaragoza/@41.3532707,-1.6534181,3414m/data=!3m2!1e3!4b1!4m6!3m5!1s0xd5b8f354129566d:0x634a2ef98b744830!8m2!3d41.3531678!4d-1.6468455!16zL20vMDR4OGpi?authuser=0&amp;entry=ttu&amp;g_ep=EgoyMDI2MDgxNi4wIKXMDSoASAFQAw%3D%3D</t>
  </si>
  <si>
    <t>https://www.google.com/maps/place/44559+Villarluengo,+Teruel/@40.6478491,-0.5316429,431m/data=!3m2!1e3!4b1!4m6!3m5!1s0xd5f00b3e3b49e85:0x76bf68dad7923044!8m2!3d40.6483838!4d-0.5302133!16s%2Fm%2F02z9s5m?authuser=0&amp;entry=ttu&amp;g_ep=EgoyMDI2MDgxNi4wIKXMDSoASAFQAw%3D%3D</t>
  </si>
  <si>
    <t>https://www.google.com/maps/place/Abad%C3%ADa+de+Montserrat/@41.5933418,1.8350497,850m/data=!3m2!1e3!4b1!4m6!3m5!1s0x12a4f5513a53dd33:0xf3a841dba1734af1!8m2!3d41.5933378!4d1.8376246!16s%2Fm%2F03cd0cy?authuser=0&amp;entry=ttu&amp;g_ep=EgoyMDI2MDgxNi4wIKXMDSoASAFQAw%3D%3D</t>
  </si>
  <si>
    <t>https://www.google.com/maps/place/Refugio+de+Lizara/@42.7641664,-0.6365673,835m/data=!3m2!1e3!4b1!4m6!3m5!1s0xd57765df0b232c9:0x1db986075f5293a8!8m2!3d42.7641625!4d-0.6339924!16s%2Fg%2F11f776h0k_?authuser=0&amp;entry=ttu&amp;g_ep=EgoyMDI2MDgxNi4wIKXMDSoASAFQAw%3D%3D</t>
  </si>
  <si>
    <t>https://www.google.com/maps/place/22809+Loarre,+Huesca/@42.3146308,-0.6299695,1681m/data=!3m2!1e3!4b1!4m6!3m5!1s0xd59cc9e0cb27a31:0x89f4e5a8b516fc1a!8m2!3d42.3140139!4d-0.6257463!16s%2Fm%2F0g9xs2b?authuser=0&amp;entry=ttu&amp;g_ep=EgoyMDI2MDgxNi4wIKXMDSoASAFQAw%3D%3D</t>
  </si>
  <si>
    <t>https://www.google.com/maps/place/50374+Torralba+de+los+Frailes,+Zaragoza/@41.0368836,-1.6627352,858m/data=!3m2!1e3!4b1!4m6!3m5!1s0xd5c6f4897998e25:0x2c8cb2897b40bab7!8m2!3d41.0369306!4d-1.6608876!16s%2Fm%2F02z9vrt?authuser=0&amp;entry=ttu&amp;g_ep=EgoyMDI2MDgxNi4wIKXMDSoASAFQAw%3D%3D</t>
  </si>
  <si>
    <t>https://www.google.com/maps/place/19223+El+Espinar,+Guadalajara/@41.0733482,-3.3161327,3428m/data=!3m2!1e3!4b1!4m6!3m5!1s0xd438e29d1f9a79d:0x5acffa8d30203a0c!8m2!3d41.073333!4d-3.305833!16s%2Fg%2F122whcm6?authuser=0&amp;entry=ttu&amp;g_ep=EgoyMDI2MDgxNi4wIKXMDSoASAFQAw%3D%3D</t>
  </si>
  <si>
    <t>https://www.google.com/maps/place/19223+Majaelrayo,+Guadalajara/@41.1122733,-3.3028339,428m/data=!3m2!1e3!4b1!4m6!3m5!1s0xd438e559bbb0e7b:0xa1076ddeb0295b81!8m2!3d41.1124696!4d-3.3017564!16s%2Fm%2F02z9yqb?authuser=0&amp;entry=ttu&amp;g_ep=EgoyMDI2MDgxNi4wIKXMDSoASAFQAw%3D%3D</t>
  </si>
  <si>
    <t>https://www.google.com/maps/place/22808+Riglos,+Huesca/@42.3484685,-0.7282594,420m/data=!3m2!1e3!4b1!4m6!3m5!1s0xd59cf08de2e5521:0xd252cfd4d3d1b963!8m2!3d42.3485414!4d-0.7264394!16s%2Fm%2F02z9p83?authuser=0&amp;entry=ttu&amp;g_ep=EgoyMDI2MDgxNi4wIKXMDSoASAFQAw%3D%3D</t>
  </si>
  <si>
    <t>https://www.google.com/maps/place/Hospice+de+France,+31110+Bagn%C3%A8res-de-Luchon,+Francia/@42.7213278,0.6449493,3341m/data=!3m2!1e3!4b1!4m6!3m5!1s0x12a888943a29acb5:0xa40d276ef66821b0!8m2!3d42.721313!4d0.655249!16s%2Fg%2F1q5ccg3qg?authuser=0&amp;entry=ttu&amp;g_ep=EgoyMDI2MDgxNi4wIKXMDSoASAFQAw%3D%3D</t>
  </si>
  <si>
    <t>https://www.google.com/maps/place/Puebla+de+Trives,+Ourense/@42.3383596,-7.2681153,3362m/data=!3m2!1e3!4b1!4m6!3m5!1s0xd307816501ddb1d:0xbc865de1f63dc862!8m2!3d42.3393468!4d-7.2538097!16zL20vMGgwcDZn?authuser=0&amp;entry=ttu&amp;g_ep=EgoyMDI2MDgxNi4wIKXMDSoASAFQAw%3D%3D</t>
  </si>
  <si>
    <t>https://www.google.com/maps/place/22728+Zuriza,+Huesca/@42.8655737,-0.8153625,833m/data=!3m2!1e3!4b1!4m6!3m5!1s0xd57134bd5130415:0xfba111008f54c953!8m2!3d42.8656158!4d-0.8123083!16s%2Fg%2F121zpfx6?authuser=0&amp;entry=ttu&amp;g_ep=EgoyMDI2MDgxNi4wIKXMDSoASAFQAw%3D%3D</t>
  </si>
  <si>
    <t>https://www.google.com/maps/place/31710+Zugarramurdi,+Navarra/@43.2695448,-1.5426099,828m/data=!3m2!1e3!4b1!4m6!3m5!1s0xd511892ca428611:0xe4be09c87f2086c4!8m2!3d43.2699221!4d-1.53993!16zL20vMDhkNzI0?authuser=0&amp;entry=ttu&amp;g_ep=EgoyMDI2MDgxNi4wIKXMDSoASAFQAw%3D%3D</t>
  </si>
  <si>
    <t>https://www.google.com/maps/place/22394+Samitier,+Huesca/@42.3021048,0.1971896,420m/data=!3m2!1e3!4b1!4m6!3m5!1s0x12a7ec3a52468493:0x5dfb550988eab5f8!8m2!3d42.3025373!4d0.198753!16s%2Fg%2F121dw1yw?authuser=0&amp;entry=ttu&amp;g_ep=EgoyMDI2MDgxNi4wIKXMDSoASAFQAw%3D%3D</t>
  </si>
  <si>
    <t>https://www.google.com/maps/place/22148+Almazorre,+Huesca/@42.2612044,0.059412,210m/data=!3m2!1e3!4b1!4m6!3m5!1s0x12a7f493f0ac4495:0x6828ace270e46143!8m2!3d42.2611909!4d0.0603718!16s%2Fg%2F120wl232?authuser=0&amp;entry=ttu&amp;g_ep=EgoyMDI2MDgxNi4wIKXMDSoASAFQAw%3D%3D</t>
  </si>
  <si>
    <t>https://www.google.com/maps/place/22145+Alqu%C3%A9zar,+Huesca/@42.1722397,0.0228117,843m/data=!3m2!1e3!4b1!4m6!3m5!1s0x12a78a3dbaf82e83:0x19e4094d537a5cc4!8m2!3d42.1730098!4d0.0253621!16zL20vMDUyaGho?authuser=0&amp;entry=ttu&amp;g_ep=EgoyMDI2MDgxNi4wIKXMDSoASAFQAw%3D%3D</t>
  </si>
  <si>
    <t>https://www.google.com/maps/place/22150+Belsu%C3%A9,+Huesca/@42.3146509,-0.380277,210m/data=!3m2!1e3!4b1!4m6!3m5!1s0xd583bfdfe4945e5:0x7b9f63b0e454cfe!8m2!3d42.3146269!4d-0.3796909!16s%2Fg%2F123b43jp?authuser=0&amp;entry=ttu&amp;g_ep=EgoyMDI2MDgxNi4wIKXMDSoASAFQAw%3D%3D</t>
  </si>
  <si>
    <t>https://www.google.com/maps/place/22375+Ner%C3%ADn,+Huesca/@42.5743631,0.0156335,419m/data=!3m2!1e3!4b1!4m6!3m5!1s0x12a8003f3d2dea1f:0xb567b7c3561c2df!8m2!3d42.574548!4d0.0166146!16s%2Fg%2F11cn8xlqvl?authuser=0&amp;entry=ttu&amp;g_ep=EgoyMDI2MDgxNi4wIKXMDSoASAFQAw%3D%3D</t>
  </si>
  <si>
    <t>https://www.google.com/maps/place/22150+Arguis,+Huesca/@42.3152901,-0.4392753,420m/data=!3m2!1e3!4b1!4m6!3m5!1s0xd583a1d99a6babb:0xe93703a3d30b4f29!8m2!3d42.3148776!4d-0.4390353!16s%2Fm%2F02z9nc5?authuser=0&amp;entry=ttu&amp;g_ep=EgoyMDI2MDgxNi4wIKXMDSoASAFQAw%3D%3D</t>
  </si>
  <si>
    <t>https://www.google.com/maps/place/44792+Alcaine,+Teruel/@40.9532507,-0.7065661,429m/data=!3m2!1e3!4b1!4m6!3m5!1s0xd5ee763305bf795:0x93432365338b3d64!8m2!3d40.9530708!4d-0.7048888!16s%2Fm%2F02z9q1x?authuser=0&amp;entry=ttu&amp;g_ep=EgoyMDI2MDgxNi4wIKXMDSoASAFQAw%3D%3D</t>
  </si>
  <si>
    <t>https://www.google.com/maps/search/candanch%C3%BA/@42.7880427,-0.5336698,834m/data=!3m2!1e3!4b1?authuser=0&amp;entry=ttu&amp;g_ep=EgoyMDI2MDgxNi4wIKXMDSoASAFQAw%3D%3D</t>
  </si>
  <si>
    <t>https://www.google.com/maps/place/44652+Monroyo,+Teruel/@40.787922,-0.0359372,861m/data=!3m2!1e3!4b1!4m6!3m5!1s0xd5f7d28b85130e7:0xd1b1b4ee702a3dd5!8m2!3d40.7874732!4d-0.0338944!16s%2Fm%2F02z9r81?authuser=0&amp;entry=ttu&amp;g_ep=EgoyMDI2MDgxNi4wIKXMDSoASAFQAw%3D%3D</t>
  </si>
  <si>
    <t>https://www.google.com/maps/place/22395+Morillo+de+Tou,+Huesca/@42.3758319,0.1513241,840m/data=!3m2!1e3!4b1!4m6!3m5!1s0x12a7efe0cdde261b:0xaf58dcdd2010b0b9!8m2!3d42.3757519!4d0.1540338!16s%2Fg%2F1234t6_z?authuser=0&amp;entry=ttu&amp;g_ep=EgoyMDI2MDgxNi4wIKXMDSoASAFQAw%3D%3D</t>
  </si>
  <si>
    <t>https://www.google.com/maps/place/22364+Revilla,+Huesca/@42.598938,0.1429621,837m/data=!3m2!1e3!4b1!4m6!3m5!1s0x12a80628b983d925:0x58b2c04a8a344b17!8m2!3d42.5990302!4d0.1456226!16s%2Fg%2F11h77pqp_5?authuser=0&amp;entry=ttu&amp;g_ep=EgoyMDI2MDgxNi4wIKXMDSoASAFQAw%3D%3D</t>
  </si>
  <si>
    <t>https://www.google.com/maps/place/La+Cleta/@42.7376804,-0.5919272,835m/data=!3m2!1e3!4b1!4m6!3m5!1s0xd579d71abd713c1:0x5300b57f1d3f6e94!8m2!3d42.7376765!4d-0.5893523!16s%2Fg%2F11f15cpyhk?authuser=0&amp;entry=ttu&amp;g_ep=EgoyMDI2MDgxNi4wIKXMDSoASAFQAw%3D%3D</t>
  </si>
  <si>
    <t>https://www.google.com/maps/place/Refugio+de+Linza/@42.8979454,-0.8021148,833m/data=!3m2!1e3!4b1!4m9!3m8!1s0xd576ecc8d22b7b7:0xceb0e7d7fb82e486!5m2!4m1!1i2!8m2!3d42.8979415!4d-0.7995399!16s%2Fg%2F11f779np3p!5m1!1e4?authuser=0&amp;entry=ttu&amp;g_ep=EgoyMDI2MDgxOS4wIKXMDSoASAFQAw%3D%3D</t>
  </si>
  <si>
    <t>https://www.google.com/maps/place/10400+Jara%C3%ADz+de+la+Vera,+C%C3%A1ceres/@40.0577786,-5.7569757,16z/data=!3m1!4b1!4m6!3m5!1s0xd3e331617d811a7:0x25dc955e953ef70d!8m2!3d40.0605875!4d-5.7525118!16s%2Fm%2F02z7j_p!5m1!1e4?authuser=0&amp;entry=ttu&amp;g_ep=EgoyMDI2MDgyMy4wIKXMDSoASAFQAw%3D%3D</t>
  </si>
  <si>
    <t>https://www.google.com/maps/place/FUENTE+DEL+PACO/@42.6806591,-0.5167128,2780m/data=!3m1!1e3!4m6!3m5!1s0xd57850051678c2b:0xd39566eb1203c7d3!8m2!3d42.6808846!4d-0.5057002!16s%2Fg%2F11xnmw4bfy?authuser=0&amp;entry=ttu&amp;g_ep=EgoyMDI2MDgxNi4wIKXMDSoASAFQAw%3D%3D</t>
  </si>
  <si>
    <t>https://www.google.com/maps/place/22623+Laguarta,+Huesca/@42.4132913,-0.1197907,420m/data=!3m2!1e3!4b1!4m6!3m5!1s0xd5805732d7ff641:0xf2620ec776f70c98!8m2!3d42.4137495!4d-0.1187925!16s%2Fg%2F120knddh?authuser=0&amp;entry=ttu&amp;g_ep=EgoyMDI2MDgxNi4wIKXMDSoASAFQAw%3D%3D</t>
  </si>
  <si>
    <t>https://www.google.com/maps/place/22600+Sabi%C3%B1%C3%A1nigo,+Huesca/@42.5196022,-0.3730711,16z/data=!3m1!4b1!4m6!3m5!1s0xd5820d1b5a9d7d3:0xf32916176c806fea!8m2!3d42.5193594!4d-0.3638114!16s%2Fm%2F02z9pg9!5m1!1e4?authuser=0&amp;entry=ttu&amp;g_ep=EgoyMDI2MDgyMy4wIKXMDSoASAFQAw%3D%3D</t>
  </si>
  <si>
    <t>https://www.google.com/maps/place/22144+Rodellar,+Huesca/@42.2824179,-0.0798846,421m/data=!3m2!1e3!4b1!4m6!3m5!1s0xd580c796e2eb361:0x79ff973419d7e46f!8m2!3d42.2822815!4d-0.0786188!16s%2Fg%2F122p7s_d?authuser=0&amp;entry=ttu&amp;g_ep=EgoyMDI2MDgxNi4wIKXMDSoASAFQAw%3D%3D</t>
  </si>
  <si>
    <t>https://www.google.com/maps/place/22860+Aisa,+Huesca/@42.6787959,-0.6232506,836m/data=!3m2!1e3!4b1!4m6!3m5!1s0xd577842814f5f85:0xd4d11343751fb559!8m2!3d42.6787387!4d-0.6207126!16s%2Fg%2F11bc693tlm?authuser=0&amp;entry=ttu&amp;g_ep=EgoyMDI2MDgxNi4wIKXMDSoASAFQAw%3D%3D</t>
  </si>
  <si>
    <t>https://www.google.com/maps/place/22373+Fiscal,+Huesca/@42.4969329,-0.1197308,1677m/data=!3m2!1e3!4b1!4m6!3m5!1s0xd58030dc87c7dad:0x2ab90042161c79e1!8m2!3d42.4956027!4d-0.1201874!16s%2Fm%2F0g9x5n9?authuser=0&amp;entry=ttu&amp;g_ep=EgoyMDI2MDgxNi4wIKXMDSoASAFQAw%3D%3D</t>
  </si>
  <si>
    <t>https://www.google.com/maps/place/Embalse+de+Vadiello/@42.2475964,-0.2821301,1683m/data=!3m2!1e3!4b1!4m6!3m5!1s0xd5815398903afe3:0x522c4726b1711b0a!8m2!3d42.2423876!4d-0.2752098!16s%2Fg%2F1yfp3m4nn?authuser=0&amp;entry=ttu&amp;g_ep=EgoyMDI2MDgxNi4wIKXMDSoASAFQAw%3D%3D</t>
  </si>
  <si>
    <t>https://www.google.com/maps/place/19341+Corduente,+Guadalajara/@40.843166,-1.9804782,860m/data=!3m2!1e3!4b1!4m6!3m5!1s0xd5cf1e87d09c79d:0xb7a28b6002d32c1d!8m2!3d40.8430214!4d-1.9768373!16s%2Fm%2F02z9y3s?authuser=0&amp;entry=ttu&amp;g_ep=EgoyMDI2MDgxNi4wIKXMDSoASAFQAw%3D%3D</t>
  </si>
  <si>
    <t>https://www.google.com/maps/place/Refugio+de+Viad%C3%B3s/@42.660696,0.374645,17z/data=!3m1!4b1!4m6!3m5!1s0x12a8717daad4ae7d:0xcc729d66691677d7!8m2!3d42.6606921!4d0.3772199!16s%2Fg%2F11b5wmk6m8!5m1!1e4?authuser=0&amp;entry=ttu&amp;g_ep=EgoyMDI2MDgxNi4wIKXMDSoASAFQAw%3D%3D</t>
  </si>
  <si>
    <t>https://www.google.com/maps/place/Sierra+de+Urbasa/@42.8761258,-2.0977997,15z/data=!3m1!4b1!4m6!3m5!1s0xd5041a2f374e83b:0xb18b0b3df98a435c!8m2!3d42.8761111!4d-2.0875!16s%2Fm%2F0gg585v!5m1!1e4?authuser=0&amp;entry=ttu&amp;g_ep=EgoyMDI2MDgyMy4wIKXMDSoASAFQAw%3D%3D</t>
  </si>
  <si>
    <t>https://www.google.com/maps/place/44588+Beceite,+Teruel/@40.8310761,0.1791223,17z/data=!3m1!4b1!4m6!3m5!1s0x12a090515d2ca13d:0xb4efe56b7ac18528!8m2!3d40.8315669!4d0.1816936!16s%2Fm%2F02z9q8s!5m1!1e4?authuser=0&amp;entry=ttu&amp;g_ep=EgoyMDI2MDgxNi4wIKXMDSoASAFQAw%3D%3D</t>
  </si>
  <si>
    <t>https://www.google.com/maps/place/43597+Arnes,+Tarragona/@40.9109865,0.2582415,17z/data=!3m1!4b1!4m6!3m5!1s0x12a09456481ec053:0x33852010bd9f799b!8m2!3d40.9110458!4d0.2614174!16s%2Fm%2F0dln8wg!5m1!1e4?authuser=0&amp;entry=ttu&amp;g_ep=EgoyMDI2MDgxNi4wIKXMDSoASAFQAw%3D%3D</t>
  </si>
  <si>
    <t>https://www.google.com/maps/place/22880+Canfranc-Estaci%C3%B3n,+Huesca/@42.7502889,-0.5202871,16z/data=!3m1!4b1!4m6!3m5!1s0xd579b9c9f81c0a9:0xb497620f41c0cd2b!8m2!3d42.751042!4d-0.5145594!16s%2Fg%2F11xk5_lnf!5m1!1e4?authuser=0&amp;entry=ttu&amp;g_ep=EgoyMDI2MDgxOS4wIKXMDSoASAFQAw%3D%3D</t>
  </si>
  <si>
    <t>https://www.google.com/maps/place/44369+Peracense,+Teruel/@40.6411899,-1.4719616,17z/data=!3m1!4b1!4m6!3m5!1s0xd5c34c38fe8ff7f:0x6464019193246f52!8m2!3d40.6412339!4d-1.4694527!16zL20vMGc3ODhf!5m1!1e4?authuser=0&amp;entry=ttu&amp;g_ep=EgoyMDI2MDgxNi4wIKXMDSoASAFQAw%3D%3D</t>
  </si>
  <si>
    <t>https://www.google.com/maps/place/44700+Montalb%C3%A1n,+Teruel/@40.8338513,-0.8027762,17z/data=!3m1!4b1!4m6!3m5!1s0xd5eee57efcd3421:0x9f024e8e6004c55d!8m2!3d40.8327391!4d-0.8002439!16zL20vMGc3N2Iw!5m1!1e4?authuser=0&amp;entry=ttu&amp;g_ep=EgoyMDI2MDgxNi4wIKXMDSoASAFQAw%3D%3D</t>
  </si>
  <si>
    <t>https://www.google.com/maps/place/22375+Fanlo,+Huesca/@42.5872816,-0.0216105,19z/data=!3m1!4b1!4m6!3m5!1s0xd57ffb5acd169c1:0x937a27d115670124!8m2!3d42.5874095!4d-0.0212797!16s%2Fg%2F11bc5_lp2z!5m1!1e4?authuser=0&amp;entry=ttu&amp;g_ep=EgoyMDI2MDgxNi4wIKXMDSoASAFQAw%3D%3D</t>
  </si>
  <si>
    <t>https://www.google.com/maps/place/Embalse+de+Pineta/@42.6341869,0.1949238,836m/data=!3m2!1e3!4b1!4m6!3m5!1s0x12a80ecddfdd1259:0xde2d335f3e928b6b!8m2!3d42.6343734!4d0.1989727!16s%2Fg%2F11xkm3zn2!5m1!1e4?authuser=0&amp;entry=ttu&amp;g_ep=EgoyMDI2MDgxOS4wIKXMDSoASAFQAw%3D%3D</t>
  </si>
  <si>
    <t>https://www.google.com/maps/place/22367+Plan,+Huesca/@42.58079,0.3361302,419m/data=!3m2!1e3!4b1!4m6!3m5!1s0x12a7dff8782be8e9:0x4018c6508cea270!8m2!3d42.5807918!4d0.3374829!16s%2Fm%2F0gtvt4j!5m1!1e4?authuser=0&amp;entry=ttu&amp;g_ep=EgoyMDI2MDgxOS4wIKXMDSoASAFQAw%3D%3D</t>
  </si>
  <si>
    <t>https://www.google.com/maps/place/22650+Balneario+de+Panticosa,+Huesca/@42.7610304,-0.2367642,835m/data=!3m2!1e3!4b1!4m6!3m5!1s0xd57ec181abf5c1f:0xa34efd3a0eb835cf!8m2!3d42.7614517!4d-0.2342092!16s%2Fg%2F1tjfj52w!5m1!1e4?authuser=0&amp;entry=ttu&amp;g_ep=EgoyMDI2MDgxOS4wIKXMDSoASAFQAw%3D%3D</t>
  </si>
  <si>
    <t>https://www.google.com/maps/place/22364+Bada%C3%ADn,+Huesca/@42.541121,0.1947237,419m/data=!3m2!1e3!4b1!4m6!3m5!1s0x12a7e27aac85e7bd:0x8b79118b0eab3639!8m2!3d42.5412933!4d0.1960435!16s%2Fg%2F11b7nql1fb!5m1!1e4?authuser=0&amp;entry=ttu&amp;g_ep=EgoyMDI2MDgxOS4wIKXMDSoASAFQAw%3D%3D</t>
  </si>
  <si>
    <t>https://www.google.com/maps/place/Pu%C3%A9rtolas,+Huesca/@42.5473753,0.1308246,419m/data=!3m2!1e3!4b1!4m6!3m5!1s0x12a7fd5e410130d9:0x4f30d735192d55bc!8m2!3d42.5475135!4d0.1322418!16s%2Fm%2F02z9pdy!5m1!1e4?authuser=0&amp;entry=ttu&amp;g_ep=EgoyMDI2MDgxOS4wIKXMDSoASAFQAw%3D%3D</t>
  </si>
  <si>
    <t>https://www.google.com/maps/place/22192+Santa+Eulalia+la+Mayor,+Huesca/@42.2105888,-0.2972729,421m/data=!3m2!1e3!4b1!4m6!3m5!1s0xd586a9c181f97fb:0xeb5a5b62afbee651!8m2!3d42.2108887!4d-0.2957607!16s%2Fg%2F122whptd!5m1!1e4?authuser=0&amp;entry=ttu&amp;g_ep=EgoyMDI2MDgxOS4wIKXMDSoASAFQAw%3D%3D</t>
  </si>
  <si>
    <t>https://www.google.com/maps/place/Embalse+de+Vadiello/@42.2475964,-0.2821301,1683m/data=!3m2!1e3!4b1!4m6!3m5!1s0xd5815398903afe3:0x522c4726b1711b0a!8m2!3d42.2423876!4d-0.2752098!16s%2Fg%2F1yfp3m4nn!5m1!1e4?authuser=0&amp;entry=ttu&amp;g_ep=EgoyMDI2MDgxOS4wIKXMDSoASAFQAw%3D%3D</t>
  </si>
  <si>
    <t>https://www.google.com/maps/place/22192+San+Juli%C3%A1n+de+Banzo,+Huesca/@42.2264423,-0.3508517,842m/data=!3m2!1e3!4b1!4m6!3m5!1s0xd58409a9a99a8e9:0xb4fb9c8cb3dc2751!8m2!3d42.2261587!4d-0.3486555!16s%2Fg%2F121bwllv!5m1!1e4?authuser=0&amp;entry=ttu&amp;g_ep=EgoyMDI2MDgxOS4wIKXMDSoASAFQAw%3D%3D</t>
  </si>
  <si>
    <t>https://www.google.com/maps/place/42161+Ar%C3%A9valo+de+la+Sierra,+Soria/@41.9471906,-2.4000925,423m/data=!3m2!1e3!4b1!4m6!3m5!1s0xd5ad438fc537d61:0x21954e1fd8145371!8m2!3d41.9470244!4d-2.4001864!16s%2Fm%2F02zb4xn!5m1!1e4?authuser=0&amp;entry=ttu&amp;g_ep=EgoyMDI2MDgxOS4wIKXMDSoASAFQAw%3D%3D</t>
  </si>
  <si>
    <t>https://www.google.com/maps/place/Gabas,+64440+Laruns,+Francia/@42.8896747,-0.4376947,3332m/data=!3m2!1e3!4b1!4m6!3m5!1s0xd57bd1711cdd5f5:0x2606651846c969d1!8m2!3d42.88966!4d-0.427395!16s%2Fm%2F04gl2z6!5m1!1e4?authuser=0&amp;entry=ttu&amp;g_ep=EgoyMDI2MDgxOS4wIKXMDSoASAFQAw%3D%3D</t>
  </si>
  <si>
    <t>https://www.google.com/maps/place/43360+Cornudella+de+Montsant,+Tarragona/@41.2652796,0.9020623,855m/data=!3m2!1e3!4b1!4m6!3m5!1s0x12a13558665201fd:0xafe4973bd5afedb1!8m2!3d41.265391!4d0.9050659!16s%2Fg%2F11bc600d5w!5m1!1e4?authuser=0&amp;entry=ttu&amp;g_ep=EgoyMDI2MDgxOS4wIKXMDSoASAFQAw%3D%3D</t>
  </si>
  <si>
    <t>https://www.google.com/maps/place/T%C3%BAnel+de+Cotefablo,+Huesca/@42.6129015,-0.2017328,3a,60y,90.95h,95.41t/data=!3m7!1e1!3m5!1sOQxG4cx1DnCO7W5ZOCuXPQ!2e0!6shttps:%2F%2Fstreetviewpixels-pa.googleapis.com%2Fv1%2Fthumbnail%3Fcb_client%3Dmaps_sv.tactile%26w%3D900%26h%3D600%26pitch%3D-5.405841249609196%26panoid%3DOQxG4cx1DnCO7W5ZOCuXPQ%26yaw%3D90.94588553169164!7i16384!8i8192!4m6!3m5!1s0xd57f6bf554a1495:0xc3595a4f50eaa2b8!8m2!3d42.615132!4d-0.2074473!16s%2Fg%2F121hf4_8!5m1!1e4?authuser=0&amp;entry=ttu&amp;g_ep=EgoyMDI2MDgxOS4wIKXMDSoASAFQAw%3D%3D</t>
  </si>
  <si>
    <t>https://www.google.com/maps/place/Escuela+de+Esqu%C3%AD+N%C3%B3rdico+Somport/@42.7964199,-0.5352179,17z/data=!3m1!4b1!4m6!3m5!1s0xd579eb1ac0a8eff:0xe089169b28ca93a!8m2!3d42.796416!4d-0.532643!16s%2Fg%2F1tdgr4jt!5m1!1e4?authuser=0&amp;entry=ttu&amp;g_ep=EgoyMDI2MDgxOS4wIKXMDSoASAFQAw%3D%3D</t>
  </si>
  <si>
    <t>https://www.google.com/maps/place/Puente+del+Bat%C3%A1n/@41.0680629,-0.56036,17z/data=!3m1!4b1!4m6!3m5!1s0xd5f26e4b40ba99b:0xfdb0a0e4b88593a6!8m2!3d41.0680589!4d-0.5577851!16s%2Fg%2F11bzyvrpd8!5m1!1e4?authuser=0&amp;entry=ttu&amp;g_ep=EgoyMDI2MDgxOS4wIKXMDSoASAFQAw%3D%3D</t>
  </si>
  <si>
    <t>https://www.google.com/maps/place/22148+Colungo,+Huesca/@42.1719592,0.0626045,18z/data=!3m1!4b1!4m6!3m5!1s0x12a78bee75d9f46b:0x1d96710e4c907646!8m2!3d42.1723773!4d0.0644584!16s%2Fm%2F02z9ns_!5m1!1e4?authuser=0&amp;entry=ttu&amp;g_ep=EgoyMDI2MDgxOS4wIKXMDSoASAFQAw%3D%3D</t>
  </si>
  <si>
    <t>https://www.google.com/maps/place/22349+Sieste,+Huesca/@42.4299008,0.0694041,19z/data=!3m1!4b1!4m6!3m5!1s0x12a7f98162636f09:0xcfd3491a4fa83cdc!8m2!3d42.4299163!4d0.0701511!16s%2Fg%2F121l0sp_!5m1!1e4?authuser=0&amp;entry=ttu&amp;g_ep=EgoyMDI2MDgxOS4wIKXMDSoASAFQAw%3D%3D</t>
  </si>
  <si>
    <t>https://www.google.com/maps/place/22623+Laguarta,+Huesca/@42.4132913,-0.1197907,18z/data=!3m1!4b1!4m6!3m5!1s0xd5805732d7ff641:0xf2620ec776f70c98!8m2!3d42.4137495!4d-0.1187925!16s%2Fg%2F120knddh!5m1!1e4?authuser=0&amp;entry=ttu&amp;g_ep=EgoyMDI2MDgxOS4wIKXMDSoASAFQAw%3D%3D</t>
  </si>
  <si>
    <t>https://www.google.com/maps/place/Monasterio+de+San+Salvador+de+Leyre/@42.6360589,-1.1760129,17z/data=!3m1!4b1!4m9!3m8!1s0xd57539d07e4c2ef:0x61adf0bbc7508727!5m2!4m1!1i2!8m2!3d42.6360551!4d-1.171142!16zL20vMGY5Y3lj!5m1!1e4?authuser=0&amp;entry=ttu&amp;g_ep=EgoyMDI2MDgxOS4wIKXMDSoASAFQAw%3D%3D</t>
  </si>
  <si>
    <t>https://www.google.com/maps/search/parador+de+bielsa/@42.6794885,0.0822425,17z/data=!3m1!4b1!5m1!1e4?authuser=0&amp;entry=ttu&amp;g_ep=EgoyMDI2MDgxOS4wIKXMDSoASAFQAw%3D%3D</t>
  </si>
  <si>
    <t>https://www.google.com/maps/place/22650+Balneario+de+Panticosa,+Huesca/@42.7610304,-0.2367642,17z/data=!3m1!4b1!4m6!3m5!1s0xd57ec181abf5c1f:0xa34efd3a0eb835cf!8m2!3d42.7614517!4d-0.2342092!16s%2Fg%2F1tjfj52w!5m1!1e4?authuser=0&amp;entry=ttu&amp;g_ep=EgoyMDI2MDgxOS4wIKXMDSoASAFQAw%3D%3D</t>
  </si>
  <si>
    <t>https://www.google.com/maps/place/Refugio+de+Santa+Isabel/@42.5335876,0.2161474,13.5z/data=!4m6!3m5!1s0x12a7e1cf5809947f:0xf527a8809be64eaf!8m2!3d42.5366395!4d0.2526215!16s%2Fg%2F11ddx5c_2b!5m1!1e4?authuser=0&amp;entry=ttu&amp;g_ep=EgoyMDI2MDgxOS4wIKXMDSoASAFQAw%3D%3D</t>
  </si>
  <si>
    <t>https://www.google.com/maps/place/22150+Nocito,+Huesca/@42.3220056,-0.2569773,17z/data=!3m1!4b1!4m6!3m5!1s0xd581684fccef97d:0x8baaee1a19fb0a0!8m2!3d42.3212836!4d-0.2534963!16s%2Fg%2F121gpnry!5m1!1e4?authuser=0&amp;entry=ttu&amp;g_ep=EgoyMDI2MDgxOS4wIKXMDSoASAFQAw%3D%3D</t>
  </si>
  <si>
    <t>https://www.google.com/maps/place/50160+Leci%C3%B1ena,+Zaragoza/@41.7969259,-0.6173497,16z/data=!3m1!4b1!4m6!3m5!1s0xd5902885d4823df:0x8fd7ec48d5c72207!8m2!3d41.797573!4d-0.612127!16s%2Fm%2F02z9tl9!5m1!1e4?authuser=0&amp;entry=ttu&amp;g_ep=EgoyMDI2MDgxOS4wIKXMDSoASAFQAw%3D%3D</t>
  </si>
  <si>
    <t>https://www.google.com/maps/place/22150+Santa+Eulalia+de+la+Pe%C3%B1a,+Huesca/@42.2623316,-0.4062867,19z/data=!3m1!4b1!4m6!3m5!1s0xd5838f106cdaac5:0x5902d675cdf05483!8m2!3d42.2622653!4d-0.405588!16s%2Fg%2F121yn5dg!5m1!1e4?authuser=0&amp;entry=ttu&amp;g_ep=EgoyMDI2MDgxOS4wIKXMDSoASAFQAw%3D%3D</t>
  </si>
  <si>
    <t>https://www.google.com/maps/place/Estall/@42.0741103,0.6238796,17z/data=!3m1!4b1!4m6!3m5!1s0x12a65318b1913dcb:0xb73d7504603851eb!8m2!3d42.0741063!4d0.6264545!16s%2Fg%2F11h565hjrm!5m1!1e4?authuser=0&amp;entry=ttu&amp;g_ep=EgoyMDI2MDgxOS4wIKXMDSoASAFQAw%3D%3D</t>
  </si>
  <si>
    <t>https://www.google.com/maps/place/Albergue+de+Montfalc%C3%B3+%7C+Alojamiento+de+monta%C3%B1a+en+Mont-rebei+-+Kayak+-+Actividades+guiadas./@42.0521167,0.6528175,17z/data=!3m1!4b1!4m9!3m8!1s0x12a652413723f4ff:0xfeb70b20f36678ce!5m2!4m1!1i2!8m2!3d42.0521127!4d0.6553924!16s%2Fg%2F1pp2tz_rd!5m1!1e4?authuser=0&amp;entry=ttu&amp;g_ep=EgoyMDI2MDgxOS4wIKXMDSoASAFQAw%3D%3D</t>
  </si>
  <si>
    <t>https://www.google.com/maps/place/Restaurante+Santuario+del+Moncayo/@41.7904033,-1.8201557,17z/data=!3m1!4b1!4m6!3m5!1s0xd5bacc83cc2a21f:0x56aee2604d661196!8m2!3d41.7903993!4d-1.8175808!16s%2Fg%2F1tjdhjg6!5m1!1e4?authuser=0&amp;entry=ttu&amp;g_ep=EgoyMDI2MDgxOS4wIKXMDSoASAFQAw%3D%3D</t>
  </si>
  <si>
    <t>https://www.google.com/maps/place/Puente+de+los+Navarros/@42.6533215,-0.1054061,17z/data=!3m1!4b1!4m6!3m5!1s0xd57fbb757b86ebf:0xa9e1b6ab95db2083!8m2!3d42.6533176!4d-0.1028312!16s%2Fg%2F11dzsyf95q!5m1!1e4?authuser=0&amp;entry=ttu&amp;g_ep=EgoyMDI2MDgxOS4wIKXMDSoASAFQAw%3D%3D</t>
  </si>
  <si>
    <t>https://www.google.com/maps/place/50619+Biel,+Zaragoza/@42.3877444,-0.9382073,17z/data=!3m1!4b1!4m6!3m5!1s0xd59e8784a54f08f:0xfb6b8e417e86c4d5!8m2!3d42.3869563!4d-0.9360877!16zL20vMDVuZm04!5m1!1e4?authuser=0&amp;entry=ttu&amp;g_ep=EgoyMDI2MDgxOS4wIKXMDSoASAFQAw%3D%3D</t>
  </si>
  <si>
    <t>https://www.google.com/maps/place/44491+Cucal%C3%B3n,+Teruel/@41.0862168,-1.2172527,18z/data=!3m1!4b1!4m6!3m5!1s0xd5c1d639eb5e509:0x9e9d59e5f13b6cb3!8m2!3d41.0865432!4d-1.2163379!16s%2Fm%2F03m5lcd!5m1!1e4?authuser=0&amp;entry=ttu&amp;g_ep=EgoyMDI2MDgxOS4wIKXMDSoASAFQAw%3D%3D</t>
  </si>
  <si>
    <t>https://www.google.com/maps/place/Refugio+de+Linza/@42.8979454,-0.8021148,17z/data=!3m1!4b1!4m9!3m8!1s0xd576ecc8d22b7b7:0xceb0e7d7fb82e486!5m2!4m1!1i2!8m2!3d42.8979415!4d-0.7995399!16s%2Fg%2F11f779np3p!5m1!1e4?authuser=0&amp;entry=ttu&amp;g_ep=EgoyMDI2MDgxOS4wIKXMDSoASAFQAw%3D%3D</t>
  </si>
  <si>
    <t>https://www.google.com/maps/place/22148+Betorz,+Huesca/@42.2595186,0.0227664,18z/data=!3m1!4b1!4m6!3m5!1s0x12a7f51696553cd9:0x38fc266bf6fba13f!8m2!3d42.2595095!4d0.0243414!16s%2Fg%2F11c3_61dj3!5m1!1e4?authuser=0&amp;entry=ttu&amp;g_ep=EgoyMDI2MDgxOS4wIKXMDSoASAFQAw%3D%3D</t>
  </si>
  <si>
    <t>https://www.google.com/maps/place/Llanos+del+Hospital.+Final+Carretera+%7C+1.780+m/@42.6847791,0.602032,17z/data=!3m1!4b1!4m6!3m5!1s0x12a88720ae8736cf:0xaf350602d278c64!8m2!3d42.6847752!4d0.6046069!16s%2Fg%2F11gmc9mnm5!5m1!1e4?authuser=0&amp;entry=ttu&amp;g_ep=EgoyMDI2MDgxOS4wIKXMDSoASAFQAw%3D%3D</t>
  </si>
  <si>
    <t>https://www.google.com/maps/place/Refugio+de+los+Ibones+de+Bachima%C3%B1a/@42.7799463,-0.2301045,17z/data=!3m1!4b1!4m9!3m8!1s0xd57ec03d5e3e163:0xc4ed6f28caf1c390!5m2!4m1!1i2!8m2!3d42.7799424!4d-0.2275296!16s%2Fg%2F11gb3hbbsj!5m1!1e4?authuser=0&amp;entry=ttu&amp;g_ep=EgoyMDI2MDgxOS4wIKXMDSoASAFQAw%3D%3D</t>
  </si>
  <si>
    <t>https://www.google.com/maps/place/22338+La+Muera,+Huesca/@42.4534707,0.2152827,17z/data=!3m1!4b1!4m6!3m5!1s0x12a7e4188e8bea63:0xf99dcc63e96484cf!8m2!3d42.453375!4d0.2178714!16s%2Fg%2F11x9g4v5f!5m1!1e4?authuser=0&amp;entry=ttu&amp;g_ep=EgoyMDI2MDgxOS4wIKXMDSoASAFQAw%3D%3D</t>
  </si>
  <si>
    <t>https://www.google.com/maps/place/44586+Pe%C3%B1arroya+de+Tastav%C3%ADns,+Teruel/@40.7570371,0.0379933,17z/data=!3m1!4b1!4m6!3m5!1s0x12a0830097583b1b:0x768a0d5f914dad2f!8m2!3d40.756579!4d0.0391933!16s%2Fg%2F11cn5p_mvf!5m1!1e4?authuser=0&amp;entry=ttu&amp;g_ep=EgoyMDI2MDgxOS4wIKXMDSoASAFQAw%3D%3D</t>
  </si>
  <si>
    <t>https://www.google.com/maps/place/Beceite/@40.8315709,0.1791187,17z/data=!3m1!4b1!4m6!3m5!1s0xd604500082a25ad:0x7802dce78afc5fc!8m2!3d40.8315669!4d0.1816936!16s%2Fg%2F11ygl0smbz!5m1!1e4?authuser=0&amp;entry=ttu&amp;g_ep=EgoyMDI2MDgxOS4wIKXMDSoASAFQAw%3D%3D</t>
  </si>
  <si>
    <t>https://www.google.com/maps/place/01300+Laguardia,+%C3%81lava/@42.5532611,-2.5899448,15z/data=!3m1!4b1!4m6!3m5!1s0xd4ff8572f8df239:0xfd5c4c3e6e8a84e8!8m2!3d42.5535069!4d-2.5841047!16s%2Fg%2F11cn5p_mxv!5m1!1e4?authuser=0&amp;entry=ttu&amp;g_ep=EgoyMDI2MDgxOS4wIKXMDSoASAFQAw%3D%3D</t>
  </si>
  <si>
    <t>https://www.google.com/maps/place/26121+Islallana,+La+Rioja/@42.3241761,-2.5173668,17z/data=!3m1!4b1!4m6!3m5!1s0xd454c4c78bc790b:0xc58e95be82799b6e!8m2!3d42.3239085!4d-2.5154609!16s%2Fg%2F121crzps!5m1!1e4?authuser=0&amp;entry=ttu&amp;g_ep=EgoyMDI2MDgxOS4wIKXMDSoASAFQAw%3D%3D</t>
  </si>
  <si>
    <t>https://www.google.com/maps/place/64260+Bilh%C3%A8res,+Francia/@43.065591,-0.4995069,14z/data=!3m1!4b1!4m6!3m5!1s0xd57ae5022612943:0x40665174813a7d0!8m2!3d43.05888!4d-0.448535!16s%2Fm%2F03qlwnq!5m1!1e4?authuser=0&amp;entry=ttu&amp;g_ep=EgoyMDI2MDgxOS4wIKXMDSoASAFQAw%3D%3D</t>
  </si>
  <si>
    <t>https://www.google.com/maps/place/22822+Salinas+de+Jaca,+Huesca/@42.4126212,-0.7915821,18z/data=!3m1!4b1!4m6!3m5!1s0xd59dae039d443db:0xf038948f7f450ae9!8m2!3d42.4124833!4d-0.7896874!16s%2Fg%2F122qytkz!5m1!1e4?authuser=0&amp;entry=ttu&amp;g_ep=EgoyMDI2MDgxOS4wIKXMDSoASAFQAw%3D%3D</t>
  </si>
  <si>
    <t>https://www.google.com/maps/place/22144+Bierge,+Huesca/@42.1633581,-0.0815182,17z/data=!3m1!4b1!4m6!3m5!1s0xd5873fb90927bf7:0xb85e3d9855fb00bc!8m2!3d42.1643834!4d-0.0781125!16s%2Fg%2F11cn5q5lwl!5m1!1e4?authuser=0&amp;entry=ttu&amp;g_ep=EgoyMDI2MDgxOS4wIKXMDSoASAFQAw%3D%3D</t>
  </si>
  <si>
    <t>https://www.google.com/maps/place/12231+Cirat,+Castell%C3%B3n/@40.0556662,-0.466146,17z/data=!3m1!4b1!4m6!3m5!1s0xd5fd74ec6a06101:0xcacb26d1c6f56555!8m2!3d40.0540547!4d-0.4638008!16s%2Fm%2F03c6g0n!5m1!1e4?authuser=0&amp;entry=ttu&amp;g_ep=EgoyMDI2MDgxOS4wIKXMDSoASAFQAw%3D%3D</t>
  </si>
  <si>
    <t>https://www.google.com/maps/place/Onda,+Castell%C3%B3n/@39.9871249,-0.3064166,12z/data=!3m1!4b1!4m6!3m5!1s0xd5fe20218046c6b:0x402af6ed72241c0!8m2!3d39.9604442!4d-0.2432307!16s%2Fm%2F0288mm2!5m1!1e4?authuser=0&amp;entry=ttu&amp;g_ep=EgoyMDI2MDgxOS4wIKXMDSoASAFQAw%3D%3D</t>
  </si>
  <si>
    <t>https://www.google.com/maps/place/22375+Fanlo,+Huesca/@42.5872816,-0.0216105,19z/data=!3m1!4b1!4m6!3m5!1s0xd57ffb5acd169c1:0x937a27d115670124!8m2!3d42.5874095!4d-0.0212797!16s%2Fg%2F11bc5_lp2z!5m1!1e4?authuser=0&amp;entry=ttu&amp;g_ep=EgoyMDI2MDgxOS4wIKXMDSoASAFQAw%3D%3D</t>
  </si>
  <si>
    <t>https://www.google.com/maps/place/22665+Piedrafita+de+Jaca,+Huesca/@42.6956949,-0.3266429,18z/data=!3m1!4b1!4m6!3m5!1s0xd578d6f09b54cd5:0xeca37a27616a97ae!8m2!3d42.6958463!4d-0.3251379!16s%2Fg%2F120_f_b2!5m1!1e4?authuser=0&amp;entry=ttu&amp;g_ep=EgoyMDI2MDgxOS4wIKXMDSoASAFQAw%3D%3D</t>
  </si>
  <si>
    <t>https://www.google.com/maps/place/Parking+de+Guarrinza/@42.8411193,-0.6581535,17z/data=!3m1!4b1!4m6!3m5!1s0xd577531f679945d:0x7cc6a3608eaa09d9!8m2!3d42.8411154!4d-0.6555786!16s%2Fg%2F11h1z2nkj_!5m1!1e4?authuser=0&amp;entry=ttu&amp;g_ep=EgoyMDI2MDgxOS4wIKXMDSoASAFQAw%3D%3D</t>
  </si>
  <si>
    <t>https://www.google.com/maps/place/Selva+de+Oza/@42.7024541,-0.7622188,15z/data=!3m1!4b1!4m6!3m5!1s0xd577aab1e2b1f8d:0xa66c4bc872e4f05!8m2!3d42.7024393!4d-0.7519191!16s%2Fg%2F122pkwd6!5m1!1e4?authuser=0&amp;entry=ttu&amp;g_ep=EgoyMDI2MDgxOS4wIKXMDSoASAFQAw%3D%3D</t>
  </si>
  <si>
    <t>https://www.google.com/maps/place/22338+Oncins,+Huesca/@42.4661072,0.1894879,14.5z/data=!4m6!3m5!1s0x12a7e40d1ef60fd7:0x809163b72a2d8932!8m2!3d42.4647519!4d0.2073222!16s%2Fg%2F11g9s_9s5h!5m1!1e4?authuser=0&amp;entry=ttu&amp;g_ep=EgoyMDI2MDgxOS4wIKXMDSoASAFQAw%3D%3D</t>
  </si>
  <si>
    <t>https://www.google.com/maps/place/22375+Ner%C3%ADn,+Huesca/@42.5743631,0.0156335,18z/data=!3m1!4b1!4m6!3m5!1s0x12a8003f3d2dea1f:0xb567b7c3561c2df!8m2!3d42.574548!4d0.0166146!16s%2Fg%2F11cn8xlqvl!5m1!1e4?authuser=0&amp;entry=ttu&amp;g_ep=EgoyMDI2MDgxOS4wIKXMDSoASAFQAw%3D%3D</t>
  </si>
  <si>
    <t>https://www.google.com/maps/place/44792+Ob%C3%B3n,+Teruel/@40.9278324,-0.7289763,14.25z/data=!4m6!3m5!1s0xd5ee65a9313d001:0x1df47c6d9e680b76!8m2!3d40.9045575!4d-0.7225718!16s%2Fm%2F02z9rch!5m1!1e4?authuser=0&amp;entry=ttu&amp;g_ep=EgoyMDI2MDgxOS4wIKXMDSoASAFQAw%3D%3D</t>
  </si>
  <si>
    <t>https://www.google.com/maps/place/50369+Anento,+Zaragoza/@41.0697045,-1.3351447,18z/data=!3m1!4b1!4m6!3m5!1s0xd5c1a565ee550e5:0x56731fed5f973d!8m2!3d41.0698209!4d-1.3339683!16s%2Fm%2F02z9slb!5m1!1e4?authuser=0&amp;entry=ttu&amp;g_ep=EgoyMDI2MDgxOS4wIKXMDSoASAFQAw%3D%3D</t>
  </si>
  <si>
    <t>https://www.google.com/maps/place/50163+Farlete,+Zaragoza/@41.6812741,-0.5126748,16z/data=!3m1!4b1!4m6!3m5!1s0xd58e41f926233f1:0xb3d237afe6a72f25!8m2!3d41.6810995!4d-0.5080634!16s%2Fm%2F02z9t7n!5m1!1e4?authuser=0&amp;entry=ttu&amp;g_ep=EgoyMDI2MDgxOS4wIKXMDSoASAFQAw%3D%3D</t>
  </si>
  <si>
    <t>https://www.google.com/maps/place/22636+Oliv%C3%A1n,+Huesca/@42.575466,-0.3044976,17z/data=!3m1!4b1!4m6!3m5!1s0xd578acc876048ed:0x14943d0066362603!8m2!3d42.5755307!4d-0.3020749!16s%2Fg%2F122gwmp2!5m1!1e4?authuser=0&amp;entry=ttu&amp;g_ep=EgoyMDI2MDgxOS4wIKXMDSoASAFQAw%3D%3D</t>
  </si>
  <si>
    <t>https://www.google.com/maps/place/22350+Bielsa,+Huesca/@42.6334561,0.2154124,17z/data=!3m1!4b1!4m6!3m5!1s0x12a80eac2ffae5f3:0xc585667eeaedb964!8m2!3d42.6334211!4d0.218018!16s%2Fg%2F11cn5qcvcr!5m1!1e4?authuser=0&amp;entry=ttu&amp;g_ep=EgoyMDI2MDgxOS4wIKXMDSoASAFQAw%3D%3D</t>
  </si>
  <si>
    <t>https://www.google.com/maps/place/Lac+de+Bious-Artigues/@42.8659717,-0.4586764,16z/data=!3m1!4b1!4m6!3m5!1s0xd57a2abb9e45837:0xeed955ed2599ad64!8m2!3d42.8678343!4d-0.4530454!16s%2Fm%2F05mxhyz!5m1!1e4?authuser=0&amp;entry=ttu&amp;g_ep=EgoyMDI2MDgxOS4wIKXMDSoASAFQAw%3D%3D</t>
  </si>
  <si>
    <t>https://www.google.com/maps/place/Refugio+Ayous/@42.8484017,-0.4937693,17z/data=!3m1!4b1!4m9!3m8!1s0xd57988963356c35:0x8abc99f8dd45cc20!5m2!4m1!1i2!8m2!3d42.8483978!4d-0.4911944!16s%2Fg%2F1tf6njmn!5m1!1e4?authuser=0&amp;entry=ttu&amp;g_ep=EgoyMDI2MDgxOS4wIKXMDSoASAFQAw%3D%3D</t>
  </si>
  <si>
    <t>https://www.google.com/maps/place/22640+Sallent+de+G%C3%A1llego,+Huesca/@42.7728628,-0.3361502,16z/data=!3m1!4b1!4m6!3m5!1s0xd5793711c2192cf:0x1ad4849a19f2f74f!8m2!3d42.7716575!4d-0.3321178!16s%2Fm%2F02z9pjq!5m1!1e4?authuser=0&amp;entry=ttu&amp;g_ep=EgoyMDI2MDgxOS4wIKXMDSoASAFQAw%3D%3D</t>
  </si>
  <si>
    <t>https://www.google.com/maps/place/22889+Candanch%C3%BA,+Huesca/@42.7880427,-0.5336698,17z/data=!3m1!4b1!4m6!3m5!1s0xd579eab02e9c70d:0xba33eeaab85bc8bb!8m2!3d42.7882105!4d-0.5269639!16s%2Fg%2F12qflc7sg!5m1!1e4?authuser=0&amp;entry=ttu&amp;g_ep=EgoyMDI2MDgxOS4wIKXMDSoASAFQAw%3D%3D</t>
  </si>
  <si>
    <t>https://www.google.com/maps/place/Refugio+de+Lizara/@42.7641664,-0.6365673,17z/data=!3m1!4b1!4m6!3m5!1s0xd57765df0b232c9:0x1db986075f5293a8!8m2!3d42.7641625!4d-0.6339924!16s%2Fg%2F11f776h0k_!5m1!1e4?authuser=0&amp;entry=ttu&amp;g_ep=EgoyMDI2MDgxOS4wIKXMDSoASAFQAw%3D%3D</t>
  </si>
  <si>
    <t>https://www.google.com/maps/place/22144+Rodellar,+Huesca/@42.2824179,-0.0798846,18z/data=!3m1!4b1!4m6!3m5!1s0xd580c796e2eb361:0x79ff973419d7e46f!8m2!3d42.2822815!4d-0.0786188!16s%2Fg%2F122p7s_d!5m1!1e4?authuser=0&amp;entry=ttu&amp;g_ep=EgoyMDI2MDgxOS4wIKXMDSoASAFQAw%3D%3D</t>
  </si>
  <si>
    <t>https://www.google.com/maps/place/43895+L'Ampolla,+Tarragona/@40.8063331,0.6929544,15z/data=!3m1!4b1!4m6!3m5!1s0x12a11b23c0d3997d:0x2d78015f5f8440c!8m2!3d40.8123438!4d0.7071009!16s%2Fg%2F11cn62gxcw!5m1!1e4?authuser=0&amp;entry=ttu&amp;g_ep=EgoyMDI2MDgxOS4wIKXMDSoASAFQAw%3D%3D</t>
  </si>
  <si>
    <t>https://www.google.com/maps/place/L'Ametlla+de+Mar,+Tarragona/@40.8837448,0.7968188,16z/data=!3m1!4b1!4m6!3m5!1s0x12a116cfc08dc6fd:0x20316e08b0fb6d47!8m2!3d40.8839435!4d0.7996491!16zL20vMGN0X2h2!5m1!1e4?authuser=0&amp;entry=ttu&amp;g_ep=EgoyMDI2MDgxOS4wIKXMDSoASAFQAw%3D%3D</t>
  </si>
  <si>
    <t>https://www.google.com/maps/place/22610+Yebra+de+Basa,+Huesca/@42.486595,-0.2830508,18z/data=!3m1!4b1!4m6!3m5!1s0xd581f474bc6a22f:0x4aa799b8d8618c22!8m2!3d42.4859194!4d-0.2822546!16s%2Fm%2F02z9py2!5m1!1e4?authuser=0&amp;entry=ttu&amp;g_ep=EgoyMDI2MDgxOS4wIKXMDSoASAFQAw%3D%3D</t>
  </si>
  <si>
    <t>https://www.google.com/maps/place/50480+Paniza,+Zaragoza/@41.2840834,-1.216028,16z/data=!3m1!4b1!4m6!3m5!1s0xd5955578d273f23:0xb7f3e46d767b8137!8m2!3d41.2832962!4d-1.2109306!16s%2Fm%2F02z9v3v!5m1!1e4?authuser=0&amp;entry=ttu&amp;g_ep=EgoyMDI2MDgxOS4wIKXMDSoASAFQAw%3D%3D</t>
  </si>
  <si>
    <t>https://www.google.com/maps/place/50238+Calmarza,+Zaragoza/@41.1581296,-1.9144475,17z/data=!3m1!4b1!4m6!3m5!1s0xd5c84271852b277:0x6a08793e87e78037!8m2!3d41.1576553!4d-1.9117557!16s%2Fm%2F02z9szc!5m1!1e4?authuser=0&amp;entry=ttu&amp;g_ep=EgoyMDI2MDgxOS4wIKXMDSoASAFQAw%3D%3D</t>
  </si>
  <si>
    <t>https://www.google.com/maps/place/50546+Talamantes,+Zaragoza/@41.7308692,-1.6796218,18z/data=!3m1!4b1!4m6!3m5!1s0xd5ba54afe55ba7f:0x3c9330d4a18b1fb9!8m2!3d41.7306976!4d-1.6788023!16s%2Fm%2F02z9vqf!5m1!1e4?authuser=0&amp;entry=ttu&amp;g_ep=EgoyMDI2MDgxOS4wIKXMDSoASAFQAw%3D%3D</t>
  </si>
  <si>
    <t>https://www.google.com/maps/place/Refugio+de+Linza/@42.8979453,-0.8044108,17z/data=!3m1!4b1!4m9!3m8!1s0xd576ecc8d22b7b7:0xceb0e7d7fb82e486!5m2!4m1!1i2!8m2!3d42.8979415!4d-0.7995399!16s%2Fg%2F11f779np3p!5m1!1e4?authuser=0&amp;entry=ttu&amp;g_ep=EgoyMDI2MDgxOS4wIKXMDSoASAFQAw%3D%3D</t>
  </si>
  <si>
    <t>https://www.google.com/maps/place/22790+Siresa,+Huesca/@42.7562101,-0.7552765,18z/data=!3m1!4b1!4m6!3m5!1s0xd576e279cf2b1c5:0x243f229ea936746b!8m2!3d42.756129!4d-0.7541721!16s%2Fg%2F122_gm_l!5m1!1e4?authuser=0&amp;entry=ttu&amp;g_ep=EgoyMDI2MDgxOS4wIKXMDSoASAFQAw%3D%3D</t>
  </si>
  <si>
    <t>https://www.google.com/maps/place/Parque+Nacional+de+Ordesa+y+Monte+Perdido/@42.6112384,-0.0490339,12z/data=!3m1!4b1!4m6!3m5!1s0xd57f97fef4bbd47:0x67660d37ea442976!8m2!3d42.6468705!4d0.0349001!16zL20vMGZkZmhx!5m1!1e4?authuser=0&amp;entry=ttu&amp;g_ep=EgoyMDI2MDgxOS4wIKXMDSoASAFQAw%3D%3D</t>
  </si>
  <si>
    <t>https://www.google.com/maps/place/44126+Calomarde,+Teruel/@40.3724342,-1.5773186,17z/data=!3m1!4b1!4m6!3m5!1s0xd5dbec928a65d75:0x6230fd7ff5b53cf4!8m2!3d40.3724984!4d-1.5732428!16s%2Fm%2F03m3_d5!5m1!1e4?authuser=0&amp;entry=ttu&amp;g_ep=EgoyMDI2MDgxOS4wIKXMDSoASAFQAw%3D%3D</t>
  </si>
  <si>
    <t>https://www.google.com/maps/place/22808+Riglos,+Huesca/@42.3484685,-0.7282594,18z/data=!3m1!4b1!4m6!3m5!1s0xd59cf08de2e5521:0xd252cfd4d3d1b963!8m2!3d42.3485414!4d-0.7264394!16s%2Fm%2F02z9p83!5m1!1e4?authuser=0&amp;entry=ttu&amp;g_ep=EgoyMDI2MDgyMy4wIKXMDSoASAFQAw%3D%3D</t>
  </si>
  <si>
    <t>https://www.google.com/maps/place/22663+Tramacastilla+de+Tena,+Huesca/@42.7131615,-0.3200328,15.5z/data=!4m6!3m5!1s0xd5792a25bb424ad:0xa018c67a2b5a070!8m2!3d42.7138951!4d-0.3166162!16s%2Fg%2F122rvhnc!5m1!1e4?authuser=0&amp;entry=ttu&amp;g_ep=EgoyMDI2MDgyMy4wIKXMDSoASAFQAw%3D%3D</t>
  </si>
  <si>
    <t>https://www.google.com/maps/place/22150+Arguis,+Huesca/@42.3152901,-0.4392753,18z/data=!3m1!4b1!4m6!3m5!1s0xd583a1d99a6babb:0xe93703a3d30b4f29!8m2!3d42.3148776!4d-0.4390353!16s%2Fm%2F02z9nc5!5m1!1e4?authuser=0&amp;entry=ttu&amp;g_ep=EgoyMDI2MDgyMy4wIKXMDSoASAFQAw%3D%3D</t>
  </si>
  <si>
    <t>https://www.google.com/maps/place/22880+Canfranc-Estaci%C3%B3n,+Huesca/@42.7502889,-0.5202871,16z/data=!3m1!4b1!4m6!3m5!1s0xd579b9c9f81c0a9:0xb497620f41c0cd2b!8m2!3d42.751042!4d-0.5145594!16s%2Fg%2F11xk5_lnf!5m1!1e4?authuser=0&amp;entry=ttu&amp;g_ep=EgoyMDI2MDgyMy4wIKXMDSoASAFQAw%3D%3D</t>
  </si>
  <si>
    <t>https://www.google.com/maps/place/Aparcamiento+P%C3%BAblico+de+San+Nicol%C3%A1s+de+Bujaruelo/@42.6938482,-0.1093753,17z/data=!4m10!1m2!2m1!1ssan+nicol%C3%A1s+de+bujaruelo!3m6!1s0xd57fbd9d4b842c1:0xfa2d305d9bbfb924!8m2!3d42.6926386!4d-0.107393!15sChlzYW4gbmljb2zDoXMgZGUgYnVqYXJ1ZWxvWhsiGXNhbiBuaWNvbMOhcyBkZSBidWphcnVlbG-SARRwdWJsaWNfcGFya2luZ19zcGFjZZoBJENoZERTVWhOTUc5blMwVkpRMEZuU1VRM2VIVmxNSGxuUlJBQuABAPoBBAgAEEA!16s%2Fg%2F11kpmz2x49!5m1!1e4?authuser=0&amp;entry=ttu&amp;g_ep=EgoyMDI2MDgyMy4wIKXMDSoASAFQAw%3D%3D</t>
  </si>
  <si>
    <t>https://www.google.com/maps/place/44555+Pitarque,+Teruel/@40.648002,-0.5947303,18z/data=!3m1!4b1!4m6!3m5!1s0xd5f001a23ed5027:0x413322490a91193b!8m2!3d40.6480771!4d-0.593482!16s%2Fm%2F02z9rjn!5m1!1e4?authuser=0&amp;entry=ttu&amp;g_ep=EgoyMDI2MDgyMy4wIKXMDSoASAFQAw%3D%3D</t>
  </si>
  <si>
    <t>https://www.google.com/maps/place/Castillo+de+Loarre/@42.3256692,-0.6149609,17z/data=!3m1!4b1!4m6!3m5!1s0xd59ccbaf6c14af3:0xc807f4c9d53f7ade!8m2!3d42.3256653!4d-0.612386!16zL20vMDV2cmJj!5m1!1e4?authuser=0&amp;entry=ttu&amp;g_ep=EgoyMDI2MDgyMy4wIKXMDSoASAFQAw%3D%3D</t>
  </si>
  <si>
    <t>https://www.google.com/maps/place/22665+Piedrafita+de+Jaca,+Huesca/@42.6956949,-0.3266429,18z/data=!3m1!4b1!4m6!3m5!1s0xd578d6f09b54cd5:0xeca37a27616a97ae!8m2!3d42.6958463!4d-0.3251379!16s%2Fg%2F120_f_b2!5m1!1e4?authuser=0&amp;entry=ttu&amp;g_ep=EgoyMDI2MDgyMy4wIKXMDSoASAFQAw%3D%3D</t>
  </si>
  <si>
    <t>https://www.google.com/maps/place/La+Alfranca,+Zaragoza/@41.6074146,-0.7563594,18z/data=!3m1!4b1!4m6!3m5!1s0xd5917f84807ada5:0xc43786c918b0f96f!8m2!3d41.6068202!4d-0.7550633!16s%2Fg%2F11xj2f92q!5m1!1e4?authuser=0&amp;entry=ttu&amp;g_ep=EgoyMDI2MDgyMy4wIKXMDSoASAFQAw%3D%3D</t>
  </si>
  <si>
    <t>https://www.google.com/maps/place/50682+Tiermas,+Zaragoza/@42.6151132,-1.1177876,18z/data=!3m1!4b1!4m6!3m5!1s0xd5756b7e695cc83:0x812b222257dd9838!8m2!3d42.6147422!4d-1.116716!16s%2Fg%2F1pycl4lfk!5m1!1e4?authuser=0&amp;entry=ttu&amp;g_ep=EgoyMDI2MDgyMy4wIKXMDSoASAFQAw%3D%3D</t>
  </si>
  <si>
    <t>https://www.google.com/maps/place/La+Besurta/@42.6788306,0.6474752,17z/data=!3m1!4b1!4m6!3m5!1s0x12a88645754492d5:0x36f2061fe2768e04!8m2!3d42.6788267!4d0.6500501!16s%2Fg%2F11byl31zd0!5m1!1e4?authuser=0&amp;entry=ttu&amp;g_ep=EgoyMDI2MDgyMy4wIKXMDSoASAFQAw%3D%3D</t>
  </si>
  <si>
    <t>https://www.google.com/maps/place/22870+Villan%C3%BAa,+Huesca/@42.679518,-0.5385392,16z/data=!3m1!4b1!4m6!3m5!1s0xd578363a19bb877:0x8b20e6ac9963551a!8m2!3d42.6794631!4d-0.5375993!16zL20vMDRwNGJf!5m1!1e4?authuser=0&amp;entry=ttu&amp;g_ep=EgoyMDI2MDgyMy4wIKXMDSoASAFQAw%3D%3D</t>
  </si>
  <si>
    <t>https://www.google.com/maps/place/22162+Ani%C3%A9s,+Huesca/@42.3040598,-0.5788059,17z/data=!3m1!4b1!4m6!3m5!1s0xd58349a76c3ff2b:0xc80c1101dcce9a96!8m2!3d42.3044172!4d-0.5772118!16s%2Fg%2F12195wlv!5m1!1e4?authuser=0&amp;entry=ttu&amp;g_ep=EgoyMDI2MDgyMy4wIKXMDSoASAFQAw%3D%3D</t>
  </si>
  <si>
    <t>https://www.google.com/maps/place/22700+Jaca,+Huesca/@42.5726321,-0.5583933,15z/data=!3m1!4b1!4m6!3m5!1s0xd5780ec767847ed:0x196f61f8bc9a1be2!8m2!3d42.5717166!4d-0.5470554!16zL20vMDNzZjU1!5m1!1e4?authuser=0&amp;entry=ttu&amp;g_ep=EgoyMDI2MDgyMy4wIKXMDSoASAFQAw%3D%3D</t>
  </si>
  <si>
    <t>https://es.wikiloc.com/rutas-senderismo/huesca-circular-de-bergua-e-escartin-con-iglesieta-dos-moros-15772718</t>
  </si>
  <si>
    <t>https://es.wikiloc.com/rutas-senderismo/hoz-rio-seco-rio-mesa-54061767</t>
  </si>
  <si>
    <t>https://es.wikiloc.com/rutas-senderismo/bruello-santa-maria-de-buil-62345587</t>
  </si>
  <si>
    <t>https://www.wikiloc.com/hiking-trails/pico-da-aguia-dende-arguis-10397472</t>
  </si>
  <si>
    <t>https://www.wikiloc.com/hiking-trails/preparatoria-acumuer-larrosa-45827042</t>
  </si>
  <si>
    <t>https://es.wikiloc.com/rutas-senderismo/fajas-de-canarellos-y-racun-ordesa-227736</t>
  </si>
  <si>
    <t>https://www.wikiloc.com/hiking-trails/carros-foc-en-5-etapas-llong-colomina-j-m-blanc-mallafre-amitges-restanca-colomers-ventosa-llong-14735941</t>
  </si>
  <si>
    <t>https://www.wikiloc.com/hiking-trails/valle-de-otal-desde-san-nicolas-de-bujaruelo-45827033</t>
  </si>
  <si>
    <t>https://www.wikiloc.com/hiking-trails/camino-dos-faros-laxe-a-camelle-39767948</t>
  </si>
  <si>
    <t>https://www.wikiloc.com/mountaineering-trails/1er-dia-travesia-bujaruelo-puerto-de-bujaruelo-refugio-de-serradets-echelles-gran-cascada-gavarnie-38767433</t>
  </si>
  <si>
    <t>https://www.wikiloc.com/hiking-trails/2o-dia-travesia-gavarnie-vallee-des-pouey-aspe-puerto-de-bujaruelo-bujaruelo-38763113</t>
  </si>
  <si>
    <t>https://www.wikiloc.com/hiking-trails/valle-de-barrosa-y-pico-del-puerto-38762788</t>
  </si>
  <si>
    <t>https://www.wikiloc.com/hiking-trails/huesca-ascension-al-turbon-2492-m-105323188</t>
  </si>
  <si>
    <t>https://www.wikiloc.com/hiking-trails/huesca-ruta-circular-de-beranuy-a-la-sierra-de-sis-por-el-mirador-del-mallo-la-ermita-de-la-virgen-36714313</t>
  </si>
  <si>
    <t>https://es.wikiloc.com/rutas-senderismo/sierra-de-armantes-35057823</t>
  </si>
  <si>
    <t>https://es.wikiloc.com/rutas-senderismo/circular-a-villarluengo-35057818</t>
  </si>
  <si>
    <t>https://es.wikiloc.com/rutas-senderismo/puchilibro-dende-o-castelo-de-loarre-10397433</t>
  </si>
  <si>
    <t>https://es.wikiloc.com/rutas-senderismo/guadalajara-cascadas-del-aljibe-y-matallana-por-el-espinar-y-roblelacasa-30891797</t>
  </si>
  <si>
    <t>https://es.wikiloc.com/rutas-senderismo/guadalajara-majaelrayo-al-molino-de-majaelrayo-por-robleluengo-30891802</t>
  </si>
  <si>
    <t>https://es.wikiloc.com/rutas-senderismo/huesca-circular-a-riglos-por-la-foz-de-escalete-30891806</t>
  </si>
  <si>
    <t>https://es.wikiloc.com/rutas-senderismo/pico-de-salvaguardia-y-cresta-de-crabides-desde-hospice-de-france-38767574</t>
  </si>
  <si>
    <t>https://es.wikiloc.com/rutas-senderismo/galicia-2018-dia-1-penalonga-y-bodega-chao-do-couso-27791982</t>
  </si>
  <si>
    <t>https://es.wikiloc.com/rutas-senderismo/zugarramurdi-a-urdax-y-visita-de-las-cuevas-de-urdax-25916982</t>
  </si>
  <si>
    <t>https://es.wikiloc.com/rutas-senderismo/circular-al-entremon-y-ermitas-de-samitier-25317179</t>
  </si>
  <si>
    <t>https://es.wikiloc.com/rutas-senderismo/circular-almazorre-betorz-lecina-25317310</t>
  </si>
  <si>
    <t>https://es.wikiloc.com/rutas-senderismo/alquezar-a-los-abrigos-de-chimiachas-y-quizans-25186502</t>
  </si>
  <si>
    <t>https://es.wikiloc.com/rutas-senderismo/circular-desde-caseta-del-cipres-al-dolmen-de-belsue-y-vuelta-por-acantilados-de-cifuens-23799100</t>
  </si>
  <si>
    <t>https://es.wikiloc.com/rutas-raquetas/raquetas-hasta-el-mondoto-22950640</t>
  </si>
  <si>
    <t>https://es.wikiloc.com/rutas-senderismo/pena-gratal-22204955</t>
  </si>
  <si>
    <t>https://es.wikiloc.com/rutas-senderismo/gr-262-entre-alcaine-a-oliete-22204943</t>
  </si>
  <si>
    <t>https://es.wikiloc.com/rutas-senderismo/camino-de-santiago-aragones-de-somport-a-villanua-21114340</t>
  </si>
  <si>
    <t>https://es.wikiloc.com/rutas-senderismo/circular-monroyo-forat-del-gat-barranco-de-lagrebol-21114283</t>
  </si>
  <si>
    <t>https://es.wikiloc.com/rutas-senderismo/circular-morillo-de-tou-19911104</t>
  </si>
  <si>
    <t>https://es.wikiloc.com/wikiloc/map.do?sw=42.83808718756072%2C-0.8579635620117189&amp;ne=42.94285252274475%2C-0.6602096557617188&amp;uid=190157&amp;page=1</t>
  </si>
  <si>
    <t>https://es.wikiloc.com/rutas-alpinismo/elaios-ascension-al-pico-aspe-19681108</t>
  </si>
  <si>
    <t>https://es.wikiloc.com/rutas-senderismo/ascension-a-la-espata-17892216</t>
  </si>
  <si>
    <t>https://es.wikiloc.com/rutas-senderismo/pena-cancias-desde-laguarta-8226399</t>
  </si>
  <si>
    <t>https://es.wikiloc.com/rutas-senderismo/vuelta-al-mascun-16876124</t>
  </si>
  <si>
    <t>https://es.wikiloc.com/rutas-raquetas/raquetas-por-el-valle-de-aisa-16876049</t>
  </si>
  <si>
    <t>https://es.wikiloc.com/rutas-senderismo/circular-fiscal-sase-16281029</t>
  </si>
  <si>
    <t>https://es.wikiloc.com/rutas-senderismo/vadiello-al-huevo-por-san-cosme-y-san-damian-16191173</t>
  </si>
  <si>
    <t>https://es.wikiloc.com/rutas-senderismo/sl-pnat-01-el-rodenal-circular-al-barranco-de-la-hoz-y-dehesa-de-corduente-15588924</t>
  </si>
  <si>
    <t>https://es.wikiloc.com/rutas-senderismo/travesia-entre-lizara-y-el-valle-de-hecho-15399364</t>
  </si>
  <si>
    <t>https://es.wikiloc.com/rutas-senderismo/ibones-de-millas-y-lenes-14818044</t>
  </si>
  <si>
    <t>https://es.wikiloc.com/rutas-senderismo/ascension-a-la-caixa-y-periganyol-desde-beceite-13415542</t>
  </si>
  <si>
    <t>https://es.wikiloc.com/rutas-senderismo/circular-a-los-estrets-darnes-13415594</t>
  </si>
  <si>
    <t>https://es.wikiloc.com/rutas-senderismo/circular-peracense-8285087</t>
  </si>
  <si>
    <t>https://es.wikiloc.com/rutas-senderismo/la-muela-de-montalban-12004653</t>
  </si>
  <si>
    <t>https://es.wikiloc.com/rutas-senderismo/fanlo-a-sarvise-por-el-gr-15-11556302</t>
  </si>
  <si>
    <t>https://es.wikiloc.com/rutas-senderismo/pico-maze-txamantxoia-desde-linza-11215484</t>
  </si>
  <si>
    <t>https://es.wikiloc.com/rutas-alpinismo/mesa-de-los-tres-reyes-11215500</t>
  </si>
  <si>
    <t>https://es.wikiloc.com/rutas-senderismo/valle-de-pineta-10885380</t>
  </si>
  <si>
    <t>https://es.wikiloc.com/rutas-senderismo/circular-val-de-chistau-10885381</t>
  </si>
  <si>
    <t>https://es.wikiloc.com/rutas-alpinismo/ascension-a-los-infiernos-por-pondiellos-10277328</t>
  </si>
  <si>
    <t>https://es.wikiloc.com/rutas-senderismo/circular-al-nacimiento-del-rio-irues-y-barranco-fornos-10041596</t>
  </si>
  <si>
    <t>https://es.wikiloc.com/rutas-senderismo/ascension-al-castillo-mayor-10041613</t>
  </si>
  <si>
    <t>https://es.wikiloc.com/rutas-senderismo/santa-eulalia-la-mayor-al-meson-de-sescun-por-cuello-bail-9796964</t>
  </si>
  <si>
    <t>https://es.wikiloc.com/rutas-senderismo/rio-guatizalema-desde-vadiello-9796996</t>
  </si>
  <si>
    <t>https://es.wikiloc.com/rutas-senderismo/san-martin-de-la-val-donsera-10278086</t>
  </si>
  <si>
    <t>https://es.wikiloc.com/rutas-senderismo/acebal-de-garagueta-9507363</t>
  </si>
  <si>
    <t>https://es.wikiloc.com/rutas-raquetas/raquetas-en-el-valle-de-ossau-pont-de-camps-a-la-cabana-de-pucheoux-camino-del-refugio-de-pombie-9105073</t>
  </si>
  <si>
    <t>https://es.wikiloc.com/rutas-senderismo/roca-corbatera-1163m-desde-cornudella-de-montsant-por-el-grau-dels-tres-esglaons-8832215</t>
  </si>
  <si>
    <t>https://es.wikiloc.com/rutas-raquetas/pico-pelopin-con-raquetas-9000797</t>
  </si>
  <si>
    <t>https://es.wikiloc.com/rutas-esqui-de-fondo/pista-amarilla-space-nordique-du-somport-8755375</t>
  </si>
  <si>
    <t>https://es.wikiloc.com/rutas-senderismo/los-estrechos-de-albalate-8755367</t>
  </si>
  <si>
    <t>https://es.wikiloc.com/rutas-senderismo/de-colungo-al-portal-de-la-cunarda-8453842</t>
  </si>
  <si>
    <t>https://es.wikiloc.com/rutas-senderismo/barranco-de-sieste-8226269</t>
  </si>
  <si>
    <t>https://es.wikiloc.com/rutas-senderismo/ascension-al-arangoiti-1356m-desde-leire-8066979</t>
  </si>
  <si>
    <t>https://es.wikiloc.com/rutas-senderismo/pineta-a-la-estiva-7864983</t>
  </si>
  <si>
    <t>https://es.wikiloc.com/rutas-alpinismo/ascension-al-balcon-de-pineta-7865143</t>
  </si>
  <si>
    <t>https://es.wikiloc.com/rutas-senderismo/travesia-julio-2014-banos-de-panticosa-san-nicolas-de-bujaruelo-panticosa-7293999</t>
  </si>
  <si>
    <t>https://es.wikiloc.com/rutas-alpinismo/cotiella-desde-el-collado-de-santa-isabel-7194346</t>
  </si>
  <si>
    <t>https://es.wikiloc.com/rutas-senderismo/ascension-circular-al-tozal-de-guara-6839615</t>
  </si>
  <si>
    <t>https://es.wikiloc.com/rutas-senderismo/montes-de-lecinena-7150851</t>
  </si>
  <si>
    <t>https://es.wikiloc.com/rutas-senderismo/santolarieta-y-pena-sen-con-rgp-7058225</t>
  </si>
  <si>
    <t>https://es.wikiloc.com/rutas-senderismo/circular-a-la-cima-del-montsec-de-lestall-6539733</t>
  </si>
  <si>
    <t>https://es.wikiloc.com/rutas-senderismo/pasarelas-de-montfalco-y-congost-de-montrebei-6539757</t>
  </si>
  <si>
    <t>https://es.wikiloc.com/rutas-raquetas/raquetas-por-el-moncayo-6383345</t>
  </si>
  <si>
    <t>https://es.wikiloc.com/rutas-raquetas/puente-de-los-navarros-a-la-pradera-de-ordesa-6119237</t>
  </si>
  <si>
    <t>https://es.wikiloc.com/rutas-senderismo/circular-biel-hasta-puy-mone-5964690</t>
  </si>
  <si>
    <t>https://es.wikiloc.com/rutas-senderismo/modorra-de-cucalon-5964607/photo-3230071</t>
  </si>
  <si>
    <t>https://es.wikiloc.com/rutas-senderismo/bosque-de-gamueta-5649491</t>
  </si>
  <si>
    <t>https://es.wikiloc.com/rutas-senderismo/circular-betorz-sta-ma-de-la-nuez-tozal-de-asba-betorz-5487643</t>
  </si>
  <si>
    <t>https://es.wikiloc.com/rutas-senderismo/llanos-del-hospital-salvaguardia-ref-du-portillon-de-venasque-6122001</t>
  </si>
  <si>
    <t>https://es.wikiloc.com/rutas-senderismo/ref-venasque-puerto-de-la-glera-llanos-del-hospital-6122005</t>
  </si>
  <si>
    <t>https://es.wikiloc.com/rutas-alpinismo/redolada-gran-facha-2a-etapa-4863357</t>
  </si>
  <si>
    <t>https://es.wikiloc.com/rutas-alpinismo/redolada-gran-facha-3a-etapa-4863380</t>
  </si>
  <si>
    <t>https://es.wikiloc.com/rutas-alpinismo/redolada-gran-facha-4a-etapa-4863501</t>
  </si>
  <si>
    <t>https://es.wikiloc.com/rutas-senderismo/pena-montanesa-4863317</t>
  </si>
  <si>
    <t>https://es.wikiloc.com/rutas-senderismo/vuelta-al-masmut-4520092</t>
  </si>
  <si>
    <t>https://es.wikiloc.com/rutas-senderismo/ascension-al-penagalera-4520122</t>
  </si>
  <si>
    <t>https://es.wikiloc.com/rutas-senderismo/ascension-a-la-cruz-del-castillo-1434m-desde-laguardia-4311544</t>
  </si>
  <si>
    <t>https://es.wikiloc.com/rutas-senderismo/ascension-a-pena-bajenza-940m-desde-islallana-4311706</t>
  </si>
  <si>
    <t>https://es.wikiloc.com/rutas-raquetas/pico-bersaut-1340m-con-raquetas-4243943</t>
  </si>
  <si>
    <t>https://es.wikiloc.com/rutas-senderismo/salinas-de-jaca-a-villalangua-por-la-foz-de-salinas-y-la-osqueta-4012982</t>
  </si>
  <si>
    <t>https://es.wikiloc.com/rutas-senderismo/travesia-del-salto-de-bierge-a-morrano-3882864</t>
  </si>
  <si>
    <t>https://es.wikiloc.com/rutas-senderismo/cirat-a-el-salto-6136859</t>
  </si>
  <si>
    <t>https://es.wikiloc.com/rutas-senderismo/pr-cv-360-1-circular-de-onda-a-las-piramides-4026709</t>
  </si>
  <si>
    <t>https://es.wikiloc.com/rutas-senderismo/circular-fanlo-comiello-casa-de-juntas-montes-blasco-3633909</t>
  </si>
  <si>
    <t>https://es.wikiloc.com/rutas-senderismo/ibon-de-piedrafita-arco-geotectonico-y-haya-centenaria-3633951</t>
  </si>
  <si>
    <t>https://es.wikiloc.com/rutas-alpinismo/garmo-negro-3633984</t>
  </si>
  <si>
    <t>https://es.wikiloc.com/rutas-senderismo/aguas-tuertas-puerto-de-escale-3633956</t>
  </si>
  <si>
    <t>https://es.wikiloc.com/rutas-alpinismo/castillo-de-acher-3633955</t>
  </si>
  <si>
    <t>https://es.wikiloc.com/rutas-senderismo/moletes-darany-y-parrisal-de-beceite-3633967</t>
  </si>
  <si>
    <t>https://es.wikiloc.com/rutas-senderismo/pena-montanesa-3634075</t>
  </si>
  <si>
    <t>https://es.wikiloc.com/rutas-senderismo/gargantas-de-escuain-desde-revilla-3634056</t>
  </si>
  <si>
    <t>https://es.wikiloc.com/rutas-senderismo/mondoto-3634104</t>
  </si>
  <si>
    <t>https://es.wikiloc.com/rutas-senderismo/hoces-del-rio-martin-entre-obon-y-alcaine-3633991</t>
  </si>
  <si>
    <t>https://es.wikiloc.com/rutas-senderismo/circular-por-el-aguallueve-de-anento-4026760</t>
  </si>
  <si>
    <t>https://es.wikiloc.com/rutas-senderismo/san-caprasio-3634097</t>
  </si>
  <si>
    <t>https://es.wikiloc.com/rutas-senderismo/sobrepuerto-olivan-ainielle-susin-3634098</t>
  </si>
  <si>
    <t>https://es.wikiloc.com/rutas-senderismo/camino-del-canal-del-cinca-pineta-lafortunada-3633958</t>
  </si>
  <si>
    <t>https://es.wikiloc.com/rutas-senderismo/travesia-1-bious-artigues-pic-dayous-ref-ayous-3633985</t>
  </si>
  <si>
    <t>https://es.wikiloc.com/rutas-senderismo/travesia-2-ref-ayous-pic-des-moines-bious-artigues-3633990</t>
  </si>
  <si>
    <t>https://es.wikiloc.com/wikiloc/map.do?sw=42.737241684386%2C-0.3670120239257813&amp;ne=42.789732083592504%2C-0.2681350708007813&amp;uid=627813&amp;page=1</t>
  </si>
  <si>
    <t>https://es.wikiloc.com/rutas-senderismo/travesia-2011-candanchu-a-lizara-por-el-valle-de-los-sarrios-3634108</t>
  </si>
  <si>
    <t>https://es.wikiloc.com/rutas-senderismo/travesia-2011-ascension-al-bisaurin-desde-lizara-4024376</t>
  </si>
  <si>
    <t>https://es.wikiloc.com/rutas-senderismo/travesia-2011-lizara-a-canfranc-por-collado-del-bozo-4024377</t>
  </si>
  <si>
    <t>https://es.wikiloc.com/rutas-senderismo/circular-rodellar-nasarre-otin-mascun-rodellar-6132337</t>
  </si>
  <si>
    <t>https://es.wikiloc.com/rutas-senderismo/gr92-1er-dia-lampolla-a-lametlla-de-mar-3634060</t>
  </si>
  <si>
    <t>https://es.wikiloc.com/rutas-senderismo/gr92-2o-dia-lametlla-de-mar-a-hospitalet-de-linfant-3716125</t>
  </si>
  <si>
    <t>https://es.wikiloc.com/rutas-senderismo/vadiello-ermita-de-san-chines-los-pepes-3911443</t>
  </si>
  <si>
    <t>https://es.wikiloc.com/rutas-senderismo/circular-desde-yebra-de-basa-a-santa-orosia-3902097</t>
  </si>
  <si>
    <t>https://es.wikiloc.com/rutas-senderismo/circula-paniza-virgen-del-aguila-3902357</t>
  </si>
  <si>
    <t>https://es.wikiloc.com/rutas-senderismo/circular-calmarza-virgen-de-jaraba-62345624</t>
  </si>
  <si>
    <t>https://es.wikiloc.com/rutas-senderismo/zaragoza-circular-as-penas-de-herrera-dende-talamantes-ida-por-valdeherrera-e-volta-por-valdetrevin-10397466</t>
  </si>
  <si>
    <t>https://es.wikiloc.com/rutas-senderismo/ascension-al-petrechema-18521894</t>
  </si>
  <si>
    <t>https://es.wikiloc.com/rutas-senderismo/senda-dos-cazadores-e-faixa-pelai-10397380</t>
  </si>
  <si>
    <t>https://es.wikiloc.com/rutas-senderismo/aragon-canal-roya-hasta-rinconada-115188348</t>
  </si>
  <si>
    <t>https://es.wikiloc.com/rutas-raquetas/ibon-de-tramacastilla-10401933</t>
  </si>
  <si>
    <t>https://es.wikiloc.com/rutas-senderismo/cumios-do-moncayo-morca-e-lobera-dende-o-santuario-10397462</t>
  </si>
  <si>
    <t>https://es.wikiloc.com/rutas-raquetas/huesca-ibon-de-piedrafita-10401935</t>
  </si>
  <si>
    <t>https://es.wikiloc.com/rutas-senderismo/arguis-al-pico-del-aguila-45801337</t>
  </si>
  <si>
    <t>excursion raquetas</t>
  </si>
  <si>
    <t>elaios; g_madrid</t>
  </si>
  <si>
    <t>excursion esqui</t>
  </si>
  <si>
    <t>sin registros</t>
  </si>
  <si>
    <t>zaragoza</t>
  </si>
  <si>
    <t>https://www.google.com/maps/place/C.+de+San+Vicente+de+Pa%C3%BAl,+26,+Casco+Antiguo,+50001+Zaragoza/@41.6529037,-0.8777806,812m/data=!3m2!1e3!4b1!4m6!3m5!1s0xd5914f2288eb647:0x1a772557efe58cb!8m2!3d41.6528997!4d-0.8752057!16s%2Fg%2F11zjpxhq3z?entry=ttu&amp;g_ep=EgoyMDI2MDkwMi4wIKXMDSoASAFQAw%3D%3D</t>
  </si>
  <si>
    <t>https://es.wikiloc.com/rutas-senderismo/pico-pegueras-collada-de-tramasaguas-y-punta-bacibosa-desde-sin-194197281</t>
  </si>
  <si>
    <t>Circular Piracés
Jubierre (RGP)</t>
  </si>
  <si>
    <t>https://es.wikiloc.com/rutas-senderismo/aragon-circular-piraces-bco-los-olivares-cerro-patrilla-las-escapaduras-ermita-de-las-coronas-y-pen-123532298</t>
  </si>
  <si>
    <t>Villalangua</t>
  </si>
  <si>
    <t>Osqueta desde Villalangua</t>
  </si>
  <si>
    <t>PENDIENTE</t>
  </si>
  <si>
    <t>ESTADO</t>
  </si>
  <si>
    <t>SIN_REGISTROS</t>
  </si>
  <si>
    <t>OK</t>
  </si>
  <si>
    <t>https://www.wikiloc.com/walking-trails/escocia-paseo-por-edinburgh-y-subida-a-arthurs-seat-220692329</t>
  </si>
  <si>
    <t>https://www.wikiloc.com/hiking-trails/aragon-tuca-de-vallivierna-3-059m-desde-refugio-de-cap-de-llauset-y-vuelta-al-embalse-de-llauset-184161842</t>
  </si>
  <si>
    <t>https://www.wikiloc.com/hiking-trails/senda-de-camille-2a-etapa-refugio-de-gabardito-al-refugio-de-lizara-con-ascension-al-bisaurin-179986296</t>
  </si>
  <si>
    <t>https://es.wikiloc.com/rutas-senderismo/nafarroa-circular-a-las-bordas-de-la-cofradia-y-peloton-y-altos-de-goni-bixkarluz-elordia-arrasaund-164967577</t>
  </si>
  <si>
    <t>https://es.wikiloc.com/rutas-senderismo/nafarroa-circular-al-elimendi-1-135-m-y-a-las-foces-de-muron-y-lezaia-desde-munarriz-166338132</t>
  </si>
  <si>
    <t>https://es.wikiloc.com/rutas-senderismo/hoces-del-rio-huerva-desde-herrera-de-los-navarros-en-ruta-circular-67274358</t>
  </si>
  <si>
    <t>https://es.wikiloc.com/rutas-senderismo/lumo-de-muro-muro-de-roda-ministirio-guataran-181418128</t>
  </si>
  <si>
    <t>https://es.wikiloc.com/rutas-senderismo/huesca-circular-desde-ayera-a-castilsabas-por-la-ermita-s-esteban-piedra-dos-moros-virgen-del-vined-158776461</t>
  </si>
  <si>
    <t>https://es.wikiloc.com/rutas-senderismo/biscarrues-sendero-botanico-eres-biscarrues-ruta-circular-129520102</t>
  </si>
  <si>
    <t>https://es.wikiloc.com/rutas-senderismo/la-atalaya-1667-m-muela-de-beraton-balcon-de-martin-y-cueva-de-los-pilares-desde-el-alto-de-los-alm-179466662</t>
  </si>
  <si>
    <t>https://es.wikiloc.com/rutas-senderismo/fuendetodos-vuelta-por-la-hoz-mayor-147368230</t>
  </si>
  <si>
    <t>https://es.wikiloc.com/rutas-alpinismo/travesia-3000-ibones-2023-142927555</t>
  </si>
  <si>
    <t>https://es.wikiloc.com/rutas-senderismo/aso-de-sobremonte-estachoplano-y-monte-lucas-1768-m-circular-76207033</t>
  </si>
  <si>
    <t>https://es.wikiloc.com/rutas-senderismo/pico-bacias-2-754-m-por-los-ibones-de-brazatos-balneario-de-panticosa-39023330</t>
  </si>
  <si>
    <t>https://es.wikiloc.com/rutas-senderismo/sobrarbe-circular-a-tella-ruta-de-los-dolmenes-y-camino-del-canal-137301428</t>
  </si>
  <si>
    <t>https://es.wikiloc.com/rutas-senderismo/ruta-jubierre-tozal-de-la-cobeta-tozales-de-los-pedregales-colasico-y-solitario-desde-la-ermita-de-184778167</t>
  </si>
  <si>
    <t>https://es.wikiloc.com/rutas-senderismo/lametlla-de-mar-lampolla-133175680</t>
  </si>
  <si>
    <t>https://es.wikiloc.com/rutas-senderismo/lhospitalet-de-linfant-133293205</t>
  </si>
  <si>
    <t>https://es.wikiloc.com/rutas-senderismo/villalangua-achar-de-la-osqueta-por-foz-de-salinas-y-salinas-viejo-2172420</t>
  </si>
  <si>
    <t>A Coruña</t>
  </si>
  <si>
    <t>Barcelona</t>
  </si>
  <si>
    <t>Segovia</t>
  </si>
  <si>
    <t>Guadalajara</t>
  </si>
  <si>
    <t>Ourense</t>
  </si>
  <si>
    <t>Cáceres</t>
  </si>
  <si>
    <t>Castellón</t>
  </si>
  <si>
    <t>pendiente por determinar</t>
  </si>
  <si>
    <t>Alava</t>
  </si>
  <si>
    <t>https://www.google.com/maps/place/22822+Villalangua,+Huesca/@42.4191702,-0.8052433,753m/data=!3m2!1e3!4b1!4m6!3m5!1s0xd59db104863734f:0x25eea1ce14f25d9c!8m2!3d42.419151!4d-0.802772!16s%2Fg%2F120qd28d?entry=ttu&amp;g_ep=EgoyMDI2MDkxNi4wIKXMDSoASAFQAw%3D%3D</t>
  </si>
  <si>
    <t>https://www.google.com/maps/place/22640+Sallent+de+G%C3%A1llego,+Huesca/@42.7728628,-0.3361502,1497m/data=!3m2!1e3!4b1!4m6!3m5!1s0xd5793711c2192cf:0x1ad4849a19f2f74f!8m2!3d42.7716575!4d-0.3321178!16s%2Fm%2F02z9pjq?entry=ttu&amp;g_ep=EgoyMDI2MDkxNi4wIKXMDSoASAFQAw%3D%3D</t>
  </si>
  <si>
    <t>https://www.google.com/maps/place/Monasterio+Nuevo+de+San+Juan+de+la+Pe%C3%B1a/@42.5079551,-0.6706984,376m/data=!3m1!1e3!4m10!1m2!2m1!1ssan+juan+de+la+pe%C3%B1a!3m6!1s0xd59d42b7b084a61:0xe05bc8bbccf40e5b!8m2!3d42.5080724!4d-0.6660589!15sChRzYW4ganVhbiBkZSBsYSBwZcOxYVoWIhRzYW4ganVhbiBkZSBsYSBwZcOxYZIBCW1vbmFzdGVyeZoBI0NoWkRTVWhOTUc5blMwVkpRMEZuU1VSYWJtRjFTVXhCRUFF4AEA-gEECC4QOg!16zL20vMGY5NnZn?entry=ttu&amp;g_ep=EgoyMDI2MDkxNi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</si>
</sst>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42424"/>
      <name val="Segoe UI"/>
      <family val="2"/>
    </font>
    <font>
      <sz val="11"/>
      <color theme="10"/>
      <name val="Aptos Narrow"/>
      <family val="2"/>
      <scheme val="minor"/>
    </font>
    <font>
      <sz val="10"/>
      <color rgb="FF242424"/>
      <name val="Segoe UI"/>
      <family val="2"/>
    </font>
    <font>
      <sz val="10"/>
      <color rgb="FF2B2B2B"/>
      <name val="Arial"/>
      <family val="2"/>
    </font>
    <font>
      <sz val="9"/>
      <color rgb="FF242424"/>
      <name val="Segoe U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sz val="10"/>
      <color rgb="FFFF0000"/>
      <name val="Liberation Serif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 applyNumberFormat="0" applyFill="0" applyBorder="0" applyAlignment="0" applyProtection="0"/>
    <xf numFmtId="0" fontId="10" fillId="0" borderId="0"/>
    <xf numFmtId="0" fontId="20" fillId="9" borderId="0" applyNumberFormat="0" applyBorder="0" applyProtection="0"/>
    <xf numFmtId="0" fontId="11" fillId="0" borderId="0" applyNumberFormat="0" applyBorder="0" applyProtection="0"/>
    <xf numFmtId="0" fontId="12" fillId="3" borderId="0" applyNumberFormat="0" applyBorder="0" applyProtection="0"/>
    <xf numFmtId="0" fontId="12" fillId="4" borderId="0" applyNumberFormat="0" applyBorder="0" applyProtection="0"/>
    <xf numFmtId="0" fontId="11" fillId="5" borderId="0" applyNumberFormat="0" applyBorder="0" applyProtection="0"/>
    <xf numFmtId="0" fontId="13" fillId="6" borderId="0" applyNumberFormat="0" applyBorder="0" applyProtection="0"/>
    <xf numFmtId="0" fontId="14" fillId="7" borderId="0" applyNumberFormat="0" applyBorder="0" applyProtection="0"/>
    <xf numFmtId="0" fontId="15" fillId="0" borderId="0" applyNumberFormat="0" applyBorder="0" applyProtection="0"/>
    <xf numFmtId="0" fontId="16" fillId="8" borderId="0" applyNumberFormat="0" applyBorder="0" applyProtection="0"/>
    <xf numFmtId="0" fontId="17" fillId="0" borderId="0" applyNumberFormat="0" applyBorder="0" applyProtection="0"/>
    <xf numFmtId="0" fontId="18" fillId="0" borderId="0" applyNumberFormat="0" applyBorder="0" applyProtection="0"/>
    <xf numFmtId="0" fontId="19" fillId="0" borderId="0" applyNumberFormat="0" applyBorder="0" applyProtection="0"/>
    <xf numFmtId="0" fontId="21" fillId="9" borderId="3" applyNumberFormat="0" applyProtection="0"/>
    <xf numFmtId="0" fontId="10" fillId="0" borderId="0" applyNumberFormat="0" applyFont="0" applyBorder="0" applyProtection="0"/>
    <xf numFmtId="0" fontId="10" fillId="0" borderId="0" applyNumberFormat="0" applyFont="0" applyBorder="0" applyProtection="0"/>
    <xf numFmtId="0" fontId="13" fillId="0" borderId="0" applyNumberFormat="0" applyBorder="0" applyProtection="0"/>
    <xf numFmtId="0" fontId="24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4" fillId="0" borderId="0" xfId="1" applyFont="1" applyAlignment="1" applyProtection="1"/>
    <xf numFmtId="0" fontId="5" fillId="0" borderId="0" xfId="0" applyFont="1"/>
    <xf numFmtId="0" fontId="2" fillId="0" borderId="0" xfId="1"/>
    <xf numFmtId="0" fontId="6" fillId="0" borderId="0" xfId="0" applyFont="1"/>
    <xf numFmtId="0" fontId="7" fillId="0" borderId="0" xfId="0" applyFont="1"/>
    <xf numFmtId="0" fontId="9" fillId="2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2" fillId="0" borderId="0" xfId="1" applyAlignment="1"/>
    <xf numFmtId="0" fontId="2" fillId="0" borderId="0" xfId="1" applyAlignment="1">
      <alignment vertical="center"/>
    </xf>
    <xf numFmtId="0" fontId="22" fillId="0" borderId="0" xfId="2" applyFont="1" applyAlignment="1">
      <alignment wrapText="1"/>
    </xf>
    <xf numFmtId="0" fontId="24" fillId="0" borderId="0" xfId="19" applyAlignment="1">
      <alignment wrapText="1"/>
    </xf>
    <xf numFmtId="0" fontId="22" fillId="0" borderId="0" xfId="2" applyFont="1"/>
    <xf numFmtId="0" fontId="23" fillId="0" borderId="0" xfId="2" applyFont="1"/>
  </cellXfs>
  <cellStyles count="20">
    <cellStyle name="Accent" xfId="4" xr:uid="{1F55EB33-E00A-4941-9C5C-0A7BC0917C5B}"/>
    <cellStyle name="Accent 1" xfId="5" xr:uid="{C6227160-7E2E-4868-8B1C-1232357E1D60}"/>
    <cellStyle name="Accent 2" xfId="6" xr:uid="{D20D9886-34A0-479E-A200-AF95D4707338}"/>
    <cellStyle name="Accent 3" xfId="7" xr:uid="{A6E0B676-DACF-4682-978B-ECA1B533B861}"/>
    <cellStyle name="Bad" xfId="8" xr:uid="{4680C689-0563-41AB-89E4-2AA54318EF5F}"/>
    <cellStyle name="Error" xfId="9" xr:uid="{13F4B99E-B5E0-4422-BD58-AB4BC5EBEABB}"/>
    <cellStyle name="Footnote" xfId="10" xr:uid="{1C5B080B-93B1-4B4D-998D-876131143F1E}"/>
    <cellStyle name="Good" xfId="11" xr:uid="{E93C606A-E450-40B9-8BE5-8666D9930687}"/>
    <cellStyle name="Heading (user)" xfId="12" xr:uid="{74B057D0-2CF5-4596-B696-823F8DA6A86B}"/>
    <cellStyle name="Heading 1" xfId="13" xr:uid="{AD42B211-84CF-4107-A976-79E46602709E}"/>
    <cellStyle name="Heading 2" xfId="14" xr:uid="{0E9BA800-6D2B-4E2D-A71A-7E28283733F4}"/>
    <cellStyle name="Hipervínculo" xfId="1" builtinId="8"/>
    <cellStyle name="Neutral 2" xfId="3" xr:uid="{4EC1C516-B04B-4A90-BD31-AF0F96DFA571}"/>
    <cellStyle name="Normal" xfId="0" builtinId="0"/>
    <cellStyle name="Normal 2" xfId="2" xr:uid="{4855C3DB-4244-4173-A4D9-6FA7D8872A7A}"/>
    <cellStyle name="Normal 3" xfId="19" xr:uid="{D384DEAB-7B3A-4FE6-9514-873035C43347}"/>
    <cellStyle name="Note" xfId="15" xr:uid="{BAA1B6A1-7E7E-47F4-8652-CDCCC492CE2B}"/>
    <cellStyle name="Status" xfId="16" xr:uid="{ED8E5F84-DA1A-48EE-8CB4-75F550D0CB77}"/>
    <cellStyle name="Text" xfId="17" xr:uid="{395549DB-8EF3-4506-83C3-2D6D23D7A5DB}"/>
    <cellStyle name="Warning" xfId="18" xr:uid="{A5F148D6-9118-4EE0-911D-B5EFC3368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s.wikiloc.com/wikiloc/map.do?q=Soria%20Covaleda" TargetMode="External"/><Relationship Id="rId21" Type="http://schemas.openxmlformats.org/officeDocument/2006/relationships/hyperlink" Target="https://es.wikiloc.com/wikiloc/map.do?q=Sierra%20de%20Jubera" TargetMode="External"/><Relationship Id="rId34" Type="http://schemas.openxmlformats.org/officeDocument/2006/relationships/hyperlink" Target="https://es.wikiloc.com/wikiloc/map.do?q=Circular%20Aso%20de%20Sobremonte" TargetMode="External"/><Relationship Id="rId42" Type="http://schemas.openxmlformats.org/officeDocument/2006/relationships/hyperlink" Target="https://es.wikiloc.com/wikiloc/map.do?q=Hoces%20del%20Huerva" TargetMode="External"/><Relationship Id="rId47" Type="http://schemas.openxmlformats.org/officeDocument/2006/relationships/hyperlink" Target="https://es.wikiloc.com/wikiloc/map.do?q=Senda%20de%20Camille" TargetMode="External"/><Relationship Id="rId50" Type="http://schemas.openxmlformats.org/officeDocument/2006/relationships/hyperlink" Target="https://es.wikiloc.com/wikiloc/map.do?q=Pe%C3%B1a%20Palomera" TargetMode="External"/><Relationship Id="rId55" Type="http://schemas.openxmlformats.org/officeDocument/2006/relationships/hyperlink" Target="https://es.wikiloc.com/wikiloc/map.do?q=Pico%20del%20Puerto%20Viejo" TargetMode="External"/><Relationship Id="rId63" Type="http://schemas.openxmlformats.org/officeDocument/2006/relationships/hyperlink" Target="https://emea01.safelinks.protection.outlook.com/?url=https%3A%2F%2Fgl.wikiloc.com%2Frutas-sendeirismo%2Fagradable-mananera-por-el-parque-natural-de-izki-san-justi-san-cristobal-y-pena-del-arco-229864&amp;data=05%7C01%7C%7C5e7444d77ee6430122a808db1514a25e%7C84df9e7fe9f640afb435aaaaaaaaaaaa%7C1%7C0%7C638126950585250474%7CUnknown%7CTWFpbGZsb3d8eyJWIjoiMC4wLjAwMDAiLCJQIjoiV2luMzIiLCJBTiI6Ik1haWwiLCJXVCI6Mn0%3D%7C3000%7C%7C%7C&amp;sdata=heATnWcK%2BngqhcKzS18XBVFAW8%2BBmPOJcQkrpSwyRkw%3D&amp;reserved=0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emea01.safelinks.protection.outlook.com/?url=https%3A%2F%2Floc.wiki%2Ft%2F218694610%3Fh%3D6lpn4ldaz8%26wa%3Dsd%26la%3Des&amp;data=05%7C02%7C%7C03067d25e0354a894be408de1be19080%7C84df9e7fe9f640afb435aaaaaaaaaaaa%7C1%7C0%7C638978852756353738%7CUnknown%7CTWFpbGZsb3d8eyJFbXB0eU1hcGkiOnRydWUsIlYiOiIwLjAuMDAwMCIsIlAiOiJXaW4zMiIsIkFOIjoiTWFpbCIsIldUIjoyfQ%3D%3D%7C0%7C%7C%7C&amp;sdata=oOMgvoJFAzEWyEXicRgzwhrCWV0VjWsMp4B9JdjqcMQ%3D&amp;reserved=0" TargetMode="External"/><Relationship Id="rId2" Type="http://schemas.openxmlformats.org/officeDocument/2006/relationships/hyperlink" Target="https://es.wikiloc.com/wikiloc/map.do?q=Castej%C3%B3n%20de%20Monegros" TargetMode="External"/><Relationship Id="rId16" Type="http://schemas.openxmlformats.org/officeDocument/2006/relationships/hyperlink" Target="https://es.wikiloc.com/wikiloc/map.do?q=Cresta%20de%20Balces%201" TargetMode="External"/><Relationship Id="rId29" Type="http://schemas.openxmlformats.org/officeDocument/2006/relationships/hyperlink" Target="https://es.wikiloc.com/wikiloc/map.do?q=Osqueta%20desde%20Villarluego" TargetMode="External"/><Relationship Id="rId11" Type="http://schemas.openxmlformats.org/officeDocument/2006/relationships/hyperlink" Target="https://emea01.safelinks.protection.outlook.com/?url=https%3A%2F%2Fca.wikiloc.com%2Frutes-senderisme%2Funa-las-catedrales-la-raya-el-escaleron-una-cuenca-97389511%3Futm_medium%3Dapp%26utm_campaign%3Dshare%26utm_source%3D1919134&amp;data=05%7C02%7C%7C2ea8c470290c485c6ec208dd67e8f9a7%7C84df9e7fe9f640afb435aaaaaaaaaaaa%7C1%7C0%7C638780972554775830%7CUnknown%7CTWFpbGZsb3d8eyJFbXB0eU1hcGkiOnRydWUsIlYiOiIwLjAuMDAwMCIsIlAiOiJXaW4zMiIsIkFOIjoiTWFpbCIsIldUIjoyfQ%3D%3D%7C0%7C%7C%7C&amp;sdata=80ZbRunXqt%2BHqoumOSC1X0GHWXqjwhm3kYQ8gmNAyvo%3D&amp;reserved=0" TargetMode="External"/><Relationship Id="rId24" Type="http://schemas.openxmlformats.org/officeDocument/2006/relationships/hyperlink" Target="https://es.wikiloc.com/wikiloc/map.do?q=Vuelta%20al%20Posets" TargetMode="External"/><Relationship Id="rId32" Type="http://schemas.openxmlformats.org/officeDocument/2006/relationships/hyperlink" Target="https://es.wikiloc.com/wikiloc/map.do?q=Circular%20Piarc%C3%A9s%0AJubierre%20%28RGP%29" TargetMode="External"/><Relationship Id="rId37" Type="http://schemas.openxmlformats.org/officeDocument/2006/relationships/hyperlink" Target="https://es.wikiloc.com/wikiloc/map.do?q=Circular%20Fanlo%20Chate" TargetMode="External"/><Relationship Id="rId40" Type="http://schemas.openxmlformats.org/officeDocument/2006/relationships/hyperlink" Target="https://es.wikiloc.com/wikiloc/map.do?q=Ayera" TargetMode="External"/><Relationship Id="rId45" Type="http://schemas.openxmlformats.org/officeDocument/2006/relationships/hyperlink" Target="https://es.wikiloc.com/wikiloc/map.do?q=Reserva%20natural%20de%20N%C3%A9ouvielle%20%0ASaint-Lary%20Soulan%20%28RGP%29" TargetMode="External"/><Relationship Id="rId53" Type="http://schemas.openxmlformats.org/officeDocument/2006/relationships/hyperlink" Target="https://es.wikiloc.com/wikiloc/map.do?q=Castillo%20Mayor" TargetMode="External"/><Relationship Id="rId58" Type="http://schemas.openxmlformats.org/officeDocument/2006/relationships/hyperlink" Target="https://emea01.safelinks.protection.outlook.com/?url=https%3A%2F%2Fgl.wikiloc.com%2Frutas-sendeirismo%2Fpunta-el-cuezo-2034-m-desde-espierba-circular-por-los-llanos-de-diera-116211792&amp;data=05%7C02%7C%7Ca303c3864ccb4f346c5908dc9489d418%7C84df9e7fe9f640afb435aaaaaaaaaaaa%7C1%7C0%7C638548566903491994%7CUnknown%7CTWFpbGZsb3d8eyJWIjoiMC4wLjAwMDAiLCJQIjoiV2luMzIiLCJBTiI6Ik1haWwiLCJXVCI6Mn0%3D%7C0%7C%7C%7C&amp;sdata=R2jFEqP9Hq%2BcAyqc4K95exGGtHPfN2fsWYh78MDNsb4%3D&amp;reserved=0" TargetMode="External"/><Relationship Id="rId66" Type="http://schemas.openxmlformats.org/officeDocument/2006/relationships/hyperlink" Target="https://es.wikiloc.com/wikiloc/map.do?sw=42.83808718756072%2C-0.8579635620117189&amp;ne=42.94285252274475%2C-0.6602096557617188&amp;uid=190157&amp;page=1" TargetMode="External"/><Relationship Id="rId5" Type="http://schemas.openxmlformats.org/officeDocument/2006/relationships/hyperlink" Target="https://emea01.safelinks.protection.outlook.com/?url=https%3A%2F%2Floc.wiki%2Ft%2F241354682%3Fh%3D2zl67lldzo%26wa%3Dso%26la%3Des&amp;data=05%7C02%7C%7C812af8534d164f9ad6b108de381b76c9%7C84df9e7fe9f640afb435aaaaaaaaaaaa%7C1%7C0%7C639009887946547961%7CUnknown%7CTWFpbGZsb3d8eyJFbXB0eU1hcGkiOnRydWUsIlYiOiIwLjAuMDAwMCIsIlAiOiJXaW4zMiIsIkFOIjoiTWFpbCIsIldUIjoyfQ%3D%3D%7C0%7C%7C%7C&amp;sdata=zWG4nPAAwW%2BWLVsObJT3%2BIWGzAcOo5pb4lTEWam9rN0%3D&amp;reserved=0" TargetMode="External"/><Relationship Id="rId61" Type="http://schemas.openxmlformats.org/officeDocument/2006/relationships/hyperlink" Target="https://emea01.safelinks.protection.outlook.com/?url=https%3A%2F%2Fwww.visugpx.com%2FUVNZmCcpSp%3Futm_source%3Dbrevo%26utm_campaign%3D2024-06%2520Elaios%26utm_medium%3Demail&amp;data=05%7C02%7C%7C8b8ec1387e074bd3e7e308dc8bd19c02%7C84df9e7fe9f640afb435aaaaaaaaaaaa%7C1%7C0%7C638538979588060402%7CUnknown%7CTWFpbGZsb3d8eyJWIjoiMC4wLjAwMDAiLCJQIjoiV2luMzIiLCJBTiI6Ik1haWwiLCJXVCI6Mn0%3D%7C0%7C%7C%7C&amp;sdata=kSW3Ref8fXVxCL20aoA63U842Zv2zlRSyCFuM1KoZI8%3D&amp;reserved=0" TargetMode="External"/><Relationship Id="rId19" Type="http://schemas.openxmlformats.org/officeDocument/2006/relationships/hyperlink" Target="https://es.wikiloc.com/wikiloc/map.do?q=Barrancos%20de%20Azpe%20y%20Abellada" TargetMode="External"/><Relationship Id="rId14" Type="http://schemas.openxmlformats.org/officeDocument/2006/relationships/hyperlink" Target="https://es.wikiloc.com/wikiloc/map.do?q=Lesc%C3%BAn%20%28RGP%29%0ACastanesa" TargetMode="External"/><Relationship Id="rId22" Type="http://schemas.openxmlformats.org/officeDocument/2006/relationships/hyperlink" Target="https://es.wikiloc.com/wikiloc/map.do?q=Ermitas%20de%20Bonansa%0ATurb%C3%B3n" TargetMode="External"/><Relationship Id="rId27" Type="http://schemas.openxmlformats.org/officeDocument/2006/relationships/hyperlink" Target="https://es.wikiloc.com/wikiloc/map.do?q=Crestas%20de%20Balces%202" TargetMode="External"/><Relationship Id="rId30" Type="http://schemas.openxmlformats.org/officeDocument/2006/relationships/hyperlink" Target="https://es.wikiloc.com/wikiloc/map.do?q=Rutas%20Valle%20de%20Izki" TargetMode="External"/><Relationship Id="rId35" Type="http://schemas.openxmlformats.org/officeDocument/2006/relationships/hyperlink" Target="https://es.wikiloc.com/wikiloc/map.do?q=Ruta%203000%20ibones" TargetMode="External"/><Relationship Id="rId43" Type="http://schemas.openxmlformats.org/officeDocument/2006/relationships/hyperlink" Target="https://es.wikiloc.com/wikiloc/map.do?q=Sierra%20de%20And%C3%ADa%20y%20Valle%20de%20Ollo" TargetMode="External"/><Relationship Id="rId48" Type="http://schemas.openxmlformats.org/officeDocument/2006/relationships/hyperlink" Target="https://es.wikiloc.com/wikiloc/map.do?q=Ibones%20de%20Angli%C3%B3s%20y%20Llauset%0APico%20Vallibierna" TargetMode="External"/><Relationship Id="rId56" Type="http://schemas.openxmlformats.org/officeDocument/2006/relationships/hyperlink" Target="https://emea01.safelinks.protection.outlook.com/?url=https%3A%2F%2Fca.wikiloc.com%2Frutes-senderisme%2Fserra-de-carreu-pic-del-cap-de-carreu-font-de-la-menta-86612570&amp;data=05%7C02%7C%7Cb34d54daf57c40a2c98508dcd2a567cd%7C84df9e7fe9f640afb435aaaaaaaaaaaa%7C1%7C0%7C638616855056008747%7CUnknown%7CTWFpbGZsb3d8eyJWIjoiMC4wLjAwMDAiLCJQIjoiV2luMzIiLCJBTiI6Ik1haWwiLCJXVCI6Mn0%3D%7C0%7C%7C%7C&amp;sdata=n0GvHQjKrV%2FFcb7LTqayBS1UpHto8xL5uWnKt4bNaco%3D&amp;reserved=0" TargetMode="External"/><Relationship Id="rId64" Type="http://schemas.openxmlformats.org/officeDocument/2006/relationships/hyperlink" Target="https://emea01.safelinks.protection.outlook.com/?url=https%3A%2F%2Fes.wikiloc.com%2Frutas-senderismo%2Fcresta-balcez-paniebla-tozales-de-paco-tiesto-y-as-forcas-y-pozos-hielo-de-bagueste-circular-desde-46351304&amp;data=05%7C01%7C%7Cc05702fc548b4242a2de08dac1c25482%7C84df9e7fe9f640afb435aaaaaaaaaaaa%7C1%7C0%7C638035337626149559%7CUnknown%7CTWFpbGZsb3d8eyJWIjoiMC4wLjAwMDAiLCJQIjoiV2luMzIiLCJBTiI6Ik1haWwiLCJXVCI6Mn0%3D%7C3000%7C%7C%7C&amp;sdata=kyAOOSGlTdTSnBc0rtu%2Bi7iCvEOXn52EDBB0TjcvfoM%3D&amp;reserved=0" TargetMode="External"/><Relationship Id="rId8" Type="http://schemas.openxmlformats.org/officeDocument/2006/relationships/hyperlink" Target="https://emea01.safelinks.protection.outlook.com/?url=https%3A%2F%2Floc.wiki%2Ft%2F2334169%3Fh%3D6lpn4ldaz8%26wa%3Dsd%26la%3Des&amp;data=05%7C02%7C%7Cb37717b8a38c49aea2f908de05d6895d%7C84df9e7fe9f640afb435aaaaaaaaaaaa%7C1%7C0%7C638954616171400441%7CUnknown%7CTWFpbGZsb3d8eyJFbXB0eU1hcGkiOnRydWUsIlYiOiIwLjAuMDAwMCIsIlAiOiJXaW4zMiIsIkFOIjoiTWFpbCIsIldUIjoyfQ%3D%3D%7C0%7C%7C%7C&amp;sdata=cvkDFHACyZe1UlMsFBgWsFDJ8eyfg8YxfWgxthp1i2k%3D&amp;reserved=0" TargetMode="External"/><Relationship Id="rId51" Type="http://schemas.openxmlformats.org/officeDocument/2006/relationships/hyperlink" Target="https://es.wikiloc.com/wikiloc/map.do?q=Retuerta%20de%20Pina" TargetMode="External"/><Relationship Id="rId3" Type="http://schemas.openxmlformats.org/officeDocument/2006/relationships/hyperlink" Target="https://emea01.safelinks.protection.outlook.com/?url=https%3A%2F%2Fes.wikiloc.com%2Frutas-senderismo%2Fcircular-sierra-del-moncayo-santuario-moncayo-collado-bellido-santuario-gr-86-y-gr-90-1-14260797&amp;data=05%7C02%7C%7C8977aa541b6a4ab85ad208dd9c87bbbf%7C84df9e7fe9f640afb435aaaaaaaaaaaa%7C1%7C0%7C638838828958706113%7CUnknown%7CTWFpbGZsb3d8eyJFbXB0eU1hcGkiOnRydWUsIlYiOiIwLjAuMDAwMCIsIlAiOiJXaW4zMiIsIkFOIjoiTWFpbCIsIldUIjoyfQ%3D%3D%7C0%7C%7C%7C&amp;sdata=WNuK7zYvXpe73hqtRANct2Qwxzcy8aUNn7WQKQWvWsE%3D&amp;reserved=0" TargetMode="External"/><Relationship Id="rId12" Type="http://schemas.openxmlformats.org/officeDocument/2006/relationships/hyperlink" Target="https://emea01.safelinks.protection.outlook.com/?url=https%3A%2F%2Fes.wikiloc.com%2Frutas-mountain-bike%2Fdeltebre-sant-jaume-denveja-la-punta-de-la-banya-eucaliptus-els-muntells-sant-jaume-denveja-deltebr-28036377&amp;data=05%7C02%7C%7C0c9d51e79bd94254b89e08dd50562c9b%7C84df9e7fe9f640afb435aaaaaaaaaaaa%7C1%7C0%7C638755053227665270%7CUnknown%7CTWFpbGZsb3d8eyJFbXB0eU1hcGkiOnRydWUsIlYiOiIwLjAuMDAwMCIsIlAiOiJXaW4zMiIsIkFOIjoiTWFpbCIsIldUIjoyfQ%3D%3D%7C0%7C%7C%7C&amp;sdata=F5CEoFOOrpgVsWMD4CEocl%2F7iCHVRJGHB2mfIk9HeOQ%3D&amp;reserved=0" TargetMode="External"/><Relationship Id="rId17" Type="http://schemas.openxmlformats.org/officeDocument/2006/relationships/hyperlink" Target="https://es.wikiloc.com/wikiloc/map.do?q=Alto%20de%20Herrera" TargetMode="External"/><Relationship Id="rId25" Type="http://schemas.openxmlformats.org/officeDocument/2006/relationships/hyperlink" Target="https://es.wikiloc.com/wikiloc/map.do?q=Vuelta%20al%20Midi" TargetMode="External"/><Relationship Id="rId33" Type="http://schemas.openxmlformats.org/officeDocument/2006/relationships/hyperlink" Target="https://es.wikiloc.com/wikiloc/map.do?q=Camino%20del%20canal%20y%20ermitas%20de%20Tella%0APunta%20Pegueras" TargetMode="External"/><Relationship Id="rId38" Type="http://schemas.openxmlformats.org/officeDocument/2006/relationships/hyperlink" Target="https://es.wikiloc.com/wikiloc/map.do?q=Muela%20de%20Berat%C3%B3n" TargetMode="External"/><Relationship Id="rId46" Type="http://schemas.openxmlformats.org/officeDocument/2006/relationships/hyperlink" Target="https://es.wikiloc.com/wikiloc/map.do?q=Punta%20el%20Cuezo" TargetMode="External"/><Relationship Id="rId59" Type="http://schemas.openxmlformats.org/officeDocument/2006/relationships/hyperlink" Target="https://emea01.safelinks.protection.outlook.com/?url=https%3A%2F%2Fgl.wikiloc.com%2Frutas-sendeirismo%2Ffaja-tormosa-desde-el-refugio-ronatiza-de-pineta-circular-cmm-7286967&amp;data=05%7C02%7C%7Ca303c3864ccb4f346c5908dc9489d418%7C84df9e7fe9f640afb435aaaaaaaaaaaa%7C1%7C0%7C638548566903505633%7CUnknown%7CTWFpbGZsb3d8eyJWIjoiMC4wLjAwMDAiLCJQIjoiV2luMzIiLCJBTiI6Ik1haWwiLCJXVCI6Mn0%3D%7C0%7C%7C%7C&amp;sdata=3CCPJYzqx%2B%2BwteCviagDuKwFfNIDCt7hb2wJ%2BjaNB%2FM%3D&amp;reserved=0" TargetMode="External"/><Relationship Id="rId67" Type="http://schemas.openxmlformats.org/officeDocument/2006/relationships/hyperlink" Target="https://es.wikiloc.com/rutas-raquetas/pico-bersaut-1340m-con-raquetas-4243943" TargetMode="External"/><Relationship Id="rId20" Type="http://schemas.openxmlformats.org/officeDocument/2006/relationships/hyperlink" Target="https://es.wikiloc.com/wikiloc/map.do?q=Castillo%20y%20ermita%20de%20Ord%C3%A1s" TargetMode="External"/><Relationship Id="rId41" Type="http://schemas.openxmlformats.org/officeDocument/2006/relationships/hyperlink" Target="https://es.wikiloc.com/wikiloc/map.do?q=Muro%20de%20Roda" TargetMode="External"/><Relationship Id="rId54" Type="http://schemas.openxmlformats.org/officeDocument/2006/relationships/hyperlink" Target="https://es.wikiloc.com/wikiloc/map.do?q=Pico%20Baci%C3%A1s" TargetMode="External"/><Relationship Id="rId62" Type="http://schemas.openxmlformats.org/officeDocument/2006/relationships/hyperlink" Target="https://emea01.safelinks.protection.outlook.com/?url=https%3A%2F%2Fgl.wikiloc.com%2Frutas-sendeirismo%2Fantonana-soila-994-m-por-la-senda-el-agin-29126591&amp;data=05%7C01%7C%7C5e7444d77ee6430122a808db1514a25e%7C84df9e7fe9f640afb435aaaaaaaaaaaa%7C1%7C0%7C638126950585094251%7CUnknown%7CTWFpbGZsb3d8eyJWIjoiMC4wLjAwMDAiLCJQIjoiV2luMzIiLCJBTiI6Ik1haWwiLCJXVCI6Mn0%3D%7C3000%7C%7C%7C&amp;sdata=%2BGEoumPKDmda1sSIvu4%2FRMm6PttnFPVnrY4M0Qk1lkQ%3D&amp;reserved=0" TargetMode="External"/><Relationship Id="rId1" Type="http://schemas.openxmlformats.org/officeDocument/2006/relationships/hyperlink" Target="https://es.wikiloc.com/wikiloc/map.do?q=Arco%20de%20Gratal" TargetMode="External"/><Relationship Id="rId6" Type="http://schemas.openxmlformats.org/officeDocument/2006/relationships/hyperlink" Target="https://emea01.safelinks.protection.outlook.com/?url=https%3A%2F%2Floc.wiki%2Ft%2F11281634%3Fh%3D6lpn4ldaz8%26wa%3Dsd%26la%3Des&amp;data=05%7C02%7C%7C03067d25e0354a894be408de1be19080%7C84df9e7fe9f640afb435aaaaaaaaaaaa%7C1%7C0%7C638978852756375713%7CUnknown%7CTWFpbGZsb3d8eyJFbXB0eU1hcGkiOnRydWUsIlYiOiIwLjAuMDAwMCIsIlAiOiJXaW4zMiIsIkFOIjoiTWFpbCIsIldUIjoyfQ%3D%3D%7C0%7C%7C%7C&amp;sdata=3SoTy0wBnXLCh03RQ6NJ3dAto2Z6Pg5m9lmQNi5F8io%3D&amp;reserved=0" TargetMode="External"/><Relationship Id="rId15" Type="http://schemas.openxmlformats.org/officeDocument/2006/relationships/hyperlink" Target="https://es.wikiloc.com/wikiloc/map.do?q=Canal%20Imperial" TargetMode="External"/><Relationship Id="rId23" Type="http://schemas.openxmlformats.org/officeDocument/2006/relationships/hyperlink" Target="https://es.wikiloc.com/wikiloc/map.do?q=Valle%20de%20Ordiso%0APico%20Bernatuara" TargetMode="External"/><Relationship Id="rId28" Type="http://schemas.openxmlformats.org/officeDocument/2006/relationships/hyperlink" Target="https://es.wikiloc.com/wikiloc/map.do?q=Bardena%20negra" TargetMode="External"/><Relationship Id="rId36" Type="http://schemas.openxmlformats.org/officeDocument/2006/relationships/hyperlink" Target="https://es.wikiloc.com/wikiloc/map.do?q=Hoz%20Mayor%20en%20Fuendetodos" TargetMode="External"/><Relationship Id="rId49" Type="http://schemas.openxmlformats.org/officeDocument/2006/relationships/hyperlink" Target="https://es.wikiloc.com/wikiloc/map.do?q=Fin%20de%20semana%20en%20el%20Alt%20Urgell%20%28Panteres%20Grogues%29" TargetMode="External"/><Relationship Id="rId57" Type="http://schemas.openxmlformats.org/officeDocument/2006/relationships/hyperlink" Target="https://emea01.safelinks.protection.outlook.com/?url=https%3A%2F%2Fes.wikiloc.com%2Frutas-senderismo%2Ftossal-balinyo-tossal-del-pouet-i-tossal-doriola-84123133&amp;data=05%7C02%7C%7Cb34d54daf57c40a2c98508dcd2a567cd%7C84df9e7fe9f640afb435aaaaaaaaaaaa%7C1%7C0%7C638616855056030032%7CUnknown%7CTWFpbGZsb3d8eyJWIjoiMC4wLjAwMDAiLCJQIjoiV2luMzIiLCJBTiI6Ik1haWwiLCJXVCI6Mn0%3D%7C0%7C%7C%7C&amp;sdata=gqXesPs4S7GMGZRvI1o%2BDFMoLeS0XbMna3vmFPSitbM%3D&amp;reserved=0" TargetMode="External"/><Relationship Id="rId10" Type="http://schemas.openxmlformats.org/officeDocument/2006/relationships/hyperlink" Target="https://emea01.safelinks.protection.outlook.com/?url=https%3A%2F%2Fgl.wikiloc.com%2Frutas-sendeirismo%2Fpanticosa-dedo-de-yenefrito-pr-hu-95-pista-del-verde-cascada-de-forronias-panticosa-133316057&amp;data=05%7C02%7C%7C5bb015c0cce74fcd737008ddbf15ce29%7C84df9e7fe9f640afb435aaaaaaaaaaaa%7C1%7C0%7C638876822550612542%7CUnknown%7CTWFpbGZsb3d8eyJFbXB0eU1hcGkiOnRydWUsIlYiOiIwLjAuMDAwMCIsIlAiOiJXaW4zMiIsIkFOIjoiTWFpbCIsIldUIjoyfQ%3D%3D%7C0%7C%7C%7C&amp;sdata=J65AuQuvBlU0n%2Bdj5OM77cTWFg0ZWEKYFI2EBhAltHs%3D&amp;reserved=0" TargetMode="External"/><Relationship Id="rId31" Type="http://schemas.openxmlformats.org/officeDocument/2006/relationships/hyperlink" Target="https://es.wikiloc.com/wikiloc/map.do?q=GR-92%20y%20Sierra%20Mestral" TargetMode="External"/><Relationship Id="rId44" Type="http://schemas.openxmlformats.org/officeDocument/2006/relationships/hyperlink" Target="https://es.wikiloc.com/wikiloc/map.do?q=Asturias%3A%20Sierra%20de%20las%20Ubi%C3%B1as" TargetMode="External"/><Relationship Id="rId52" Type="http://schemas.openxmlformats.org/officeDocument/2006/relationships/hyperlink" Target="https://es.wikiloc.com/wikiloc/map.do?q=Castillo%20de%20Acher" TargetMode="External"/><Relationship Id="rId60" Type="http://schemas.openxmlformats.org/officeDocument/2006/relationships/hyperlink" Target="https://emea01.safelinks.protection.outlook.com/?url=https%3A%2F%2Fwww.visugpx.com%2FVAhZDyRtZj%3Futm_source%3Dbrevo%26utm_campaign%3D2024-06%2520Elaios%26utm_medium%3Demail&amp;data=05%7C02%7C%7C8b8ec1387e074bd3e7e308dc8bd19c02%7C84df9e7fe9f640afb435aaaaaaaaaaaa%7C1%7C0%7C638538979588051585%7CUnknown%7CTWFpbGZsb3d8eyJWIjoiMC4wLjAwMDAiLCJQIjoiV2luMzIiLCJBTiI6Ik1haWwiLCJXVCI6Mn0%3D%7C0%7C%7C%7C&amp;sdata=QCzqJwAcnm1py%2FTqTrFF6kCeuFudGgIIRvNWFfaxdOg%3D&amp;reserved=0" TargetMode="External"/><Relationship Id="rId65" Type="http://schemas.openxmlformats.org/officeDocument/2006/relationships/hyperlink" Target="https://es.wikiloc.com/rutas-senderismo/ascension-circular-al-tozal-de-guara-6839615" TargetMode="External"/><Relationship Id="rId4" Type="http://schemas.openxmlformats.org/officeDocument/2006/relationships/hyperlink" Target="https://emea01.safelinks.protection.outlook.com/?url=https%3A%2F%2Fes.wikiloc.com%2Frutas-senderismo%2Fcamino-natural-de-castejon-de-monegros-recorrido-ciruclar-212517293&amp;data=05%7C02%7C%7Cbe2809980ae34569333408dd8f2962cb%7C84df9e7fe9f640afb435aaaaaaaaaaaa%7C1%7C0%7C638824130090556107%7CUnknown%7CTWFpbGZsb3d8eyJFbXB0eU1hcGkiOnRydWUsIlYiOiIwLjAuMDAwMCIsIlAiOiJXaW4zMiIsIkFOIjoiTWFpbCIsIldUIjoyfQ%3D%3D%7C0%7C%7C%7C&amp;sdata=eRpxfkjHv5f2Z3qL6onvNFm5ZKvRh9%2FsXEbkSkKIAx0%3D&amp;reserved=0" TargetMode="External"/><Relationship Id="rId9" Type="http://schemas.openxmlformats.org/officeDocument/2006/relationships/hyperlink" Target="https://es.wikiloc.com/rutas-senderismo/pista-viados-cruce-viados-bordas-de-licierte-ida-y-vuelta-195520530" TargetMode="External"/><Relationship Id="rId13" Type="http://schemas.openxmlformats.org/officeDocument/2006/relationships/hyperlink" Target="https://emea01.safelinks.protection.outlook.com/?url=https%3A%2F%2Fca.wikiloc.com%2Frutes-cicloturisme%2F02-pnde-b-ecomuseu-desembocadura-163742410&amp;data=05%7C02%7C%7C0c9d51e79bd94254b89e08dd50562c9b%7C84df9e7fe9f640afb435aaaaaaaaaaaa%7C1%7C0%7C638755053227696447%7CUnknown%7CTWFpbGZsb3d8eyJFbXB0eU1hcGkiOnRydWUsIlYiOiIwLjAuMDAwMCIsIlAiOiJXaW4zMiIsIkFOIjoiTWFpbCIsIldUIjoyfQ%3D%3D%7C0%7C%7C%7C&amp;sdata=dmjUv0WMgHQRDqgykFhMPh0BMDkGIdSHNOO7nMIb%2F%2Fo%3D&amp;reserved=0" TargetMode="External"/><Relationship Id="rId18" Type="http://schemas.openxmlformats.org/officeDocument/2006/relationships/hyperlink" Target="https://es.wikiloc.com/wikiloc/map.do?q=Sierra%20de%20Algair%C3%A9n" TargetMode="External"/><Relationship Id="rId39" Type="http://schemas.openxmlformats.org/officeDocument/2006/relationships/hyperlink" Target="https://es.wikiloc.com/wikiloc/map.do?q=Biscarru%C3%A9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D137-B0F7-489C-BBD5-87D14D584D75}">
  <dimension ref="A1:R250"/>
  <sheetViews>
    <sheetView tabSelected="1" zoomScale="90" zoomScaleNormal="90" workbookViewId="0">
      <selection activeCell="O107" sqref="O107:O120"/>
    </sheetView>
  </sheetViews>
  <sheetFormatPr baseColWidth="10" defaultRowHeight="14.4"/>
  <cols>
    <col min="1" max="1" width="11" bestFit="1" customWidth="1"/>
    <col min="2" max="2" width="18.21875" bestFit="1" customWidth="1"/>
    <col min="3" max="3" width="8.109375" bestFit="1" customWidth="1"/>
    <col min="4" max="4" width="10.6640625" bestFit="1" customWidth="1"/>
    <col min="5" max="5" width="8.5546875" bestFit="1" customWidth="1"/>
    <col min="6" max="6" width="14.5546875" bestFit="1" customWidth="1"/>
    <col min="7" max="7" width="31.44140625" customWidth="1"/>
    <col min="8" max="8" width="22.6640625" customWidth="1"/>
    <col min="9" max="9" width="12.88671875" bestFit="1" customWidth="1"/>
    <col min="10" max="10" width="14.88671875" bestFit="1" customWidth="1"/>
    <col min="11" max="11" width="18.109375" customWidth="1"/>
    <col min="12" max="18" width="22.6640625" customWidth="1"/>
  </cols>
  <sheetData>
    <row r="1" spans="1:18">
      <c r="A1" s="6" t="s">
        <v>75</v>
      </c>
      <c r="B1" s="1" t="s">
        <v>0</v>
      </c>
      <c r="C1" s="1" t="s">
        <v>74</v>
      </c>
      <c r="D1" s="1" t="s">
        <v>1</v>
      </c>
      <c r="E1" s="1" t="s">
        <v>2</v>
      </c>
      <c r="F1" s="1" t="s">
        <v>1005</v>
      </c>
      <c r="G1" s="1" t="s">
        <v>3</v>
      </c>
      <c r="H1" s="1" t="s">
        <v>92</v>
      </c>
      <c r="I1" s="6" t="s">
        <v>76</v>
      </c>
      <c r="J1" s="6" t="s">
        <v>77</v>
      </c>
      <c r="K1" s="1" t="s">
        <v>62</v>
      </c>
      <c r="L1" s="1" t="s">
        <v>93</v>
      </c>
      <c r="M1" s="1" t="s">
        <v>4</v>
      </c>
      <c r="N1" s="1" t="s">
        <v>5</v>
      </c>
      <c r="O1" s="2" t="s">
        <v>87</v>
      </c>
      <c r="P1" s="2" t="s">
        <v>94</v>
      </c>
      <c r="Q1" s="2" t="s">
        <v>78</v>
      </c>
      <c r="R1" s="2" t="s">
        <v>79</v>
      </c>
    </row>
    <row r="2" spans="1:18" ht="15">
      <c r="A2" s="7" t="str">
        <f t="shared" ref="A2:A33" si="0">CONCATENATE(E2,"_",TEXT(B2,"00"),"_",TEXT(C2,"00"))</f>
        <v>2025_12_21</v>
      </c>
      <c r="B2">
        <v>12</v>
      </c>
      <c r="C2">
        <v>21</v>
      </c>
      <c r="E2">
        <v>2025</v>
      </c>
      <c r="F2" s="14" t="s">
        <v>1007</v>
      </c>
      <c r="G2" s="9" t="s">
        <v>95</v>
      </c>
      <c r="H2" t="s">
        <v>96</v>
      </c>
      <c r="I2" s="7" t="str">
        <f t="shared" ref="I2:I65" si="1">MID(K2,FIND("@",K2)+1,FIND(",",K2,FIND("@",K2))-FIND("@",K2)-1)</f>
        <v>41.3967627</v>
      </c>
      <c r="J2" s="7">
        <f t="shared" ref="J2:J65" si="2">VALUE(SUBSTITUTE(MID(K2,FIND(",",K2,FIND("@",K2))+1,FIND(",",K2,FIND(",",K2,FIND("@",K2))+1)-FIND(",",K2,FIND("@",K2))-1),".",","))</f>
        <v>-1.3329461</v>
      </c>
      <c r="K2" t="s">
        <v>97</v>
      </c>
      <c r="L2" t="s">
        <v>99</v>
      </c>
      <c r="M2" s="10" t="s">
        <v>98</v>
      </c>
      <c r="O2" s="8" t="s">
        <v>88</v>
      </c>
      <c r="P2" t="s">
        <v>80</v>
      </c>
      <c r="Q2" s="11" t="s">
        <v>314</v>
      </c>
      <c r="R2" t="s">
        <v>85</v>
      </c>
    </row>
    <row r="3" spans="1:18">
      <c r="A3" s="7" t="str">
        <f t="shared" si="0"/>
        <v>2025_11_23</v>
      </c>
      <c r="B3">
        <v>11</v>
      </c>
      <c r="C3">
        <v>23</v>
      </c>
      <c r="D3" t="s">
        <v>56</v>
      </c>
      <c r="E3">
        <v>2025</v>
      </c>
      <c r="F3" s="14" t="s">
        <v>1007</v>
      </c>
      <c r="G3" t="s">
        <v>60</v>
      </c>
      <c r="H3" t="s">
        <v>58</v>
      </c>
      <c r="I3" s="7" t="str">
        <f t="shared" si="1"/>
        <v>42.6181914</v>
      </c>
      <c r="J3" s="7">
        <f t="shared" si="2"/>
        <v>-0.1718335</v>
      </c>
      <c r="K3" t="s">
        <v>73</v>
      </c>
      <c r="L3" t="s">
        <v>99</v>
      </c>
      <c r="M3" s="10" t="s">
        <v>61</v>
      </c>
      <c r="N3" s="3"/>
      <c r="O3" s="8" t="s">
        <v>88</v>
      </c>
      <c r="P3" t="s">
        <v>80</v>
      </c>
      <c r="Q3" t="s">
        <v>100</v>
      </c>
      <c r="R3" t="s">
        <v>82</v>
      </c>
    </row>
    <row r="4" spans="1:18">
      <c r="A4" s="7" t="str">
        <f t="shared" si="0"/>
        <v>2025_11_22</v>
      </c>
      <c r="B4">
        <v>11</v>
      </c>
      <c r="C4">
        <v>22</v>
      </c>
      <c r="D4" t="s">
        <v>56</v>
      </c>
      <c r="E4">
        <v>2025</v>
      </c>
      <c r="F4" s="14" t="s">
        <v>1007</v>
      </c>
      <c r="G4" t="s">
        <v>57</v>
      </c>
      <c r="H4" t="s">
        <v>58</v>
      </c>
      <c r="I4" s="7" t="str">
        <f t="shared" si="1"/>
        <v>42.6181914</v>
      </c>
      <c r="J4" s="7">
        <f t="shared" si="2"/>
        <v>-0.1718335</v>
      </c>
      <c r="K4" t="s">
        <v>73</v>
      </c>
      <c r="L4" t="s">
        <v>99</v>
      </c>
      <c r="M4" s="10" t="s">
        <v>59</v>
      </c>
      <c r="N4" s="3"/>
      <c r="O4" s="8" t="s">
        <v>88</v>
      </c>
      <c r="P4" t="s">
        <v>80</v>
      </c>
      <c r="Q4" s="11" t="s">
        <v>314</v>
      </c>
      <c r="R4" t="s">
        <v>82</v>
      </c>
    </row>
    <row r="5" spans="1:18">
      <c r="A5" s="7" t="str">
        <f t="shared" si="0"/>
        <v>2025_10_19</v>
      </c>
      <c r="B5">
        <v>10</v>
      </c>
      <c r="C5">
        <v>19</v>
      </c>
      <c r="D5" t="s">
        <v>52</v>
      </c>
      <c r="E5">
        <v>2025</v>
      </c>
      <c r="F5" s="14" t="s">
        <v>1007</v>
      </c>
      <c r="G5" t="s">
        <v>53</v>
      </c>
      <c r="H5" t="s">
        <v>54</v>
      </c>
      <c r="I5" s="7" t="str">
        <f t="shared" si="1"/>
        <v>42.4132913</v>
      </c>
      <c r="J5" s="7">
        <f t="shared" si="2"/>
        <v>-0.1197907</v>
      </c>
      <c r="K5" t="s">
        <v>72</v>
      </c>
      <c r="L5" t="s">
        <v>99</v>
      </c>
      <c r="M5" s="10" t="s">
        <v>55</v>
      </c>
      <c r="N5" s="3"/>
      <c r="O5" s="8" t="s">
        <v>88</v>
      </c>
      <c r="P5" t="s">
        <v>80</v>
      </c>
      <c r="Q5" s="11" t="s">
        <v>314</v>
      </c>
      <c r="R5" t="s">
        <v>82</v>
      </c>
    </row>
    <row r="6" spans="1:18">
      <c r="A6" s="7" t="str">
        <f t="shared" si="0"/>
        <v>2025_10_05</v>
      </c>
      <c r="B6">
        <v>10</v>
      </c>
      <c r="C6">
        <v>5</v>
      </c>
      <c r="D6" t="s">
        <v>46</v>
      </c>
      <c r="E6">
        <v>2025</v>
      </c>
      <c r="F6" s="14" t="s">
        <v>1007</v>
      </c>
      <c r="G6" t="s">
        <v>50</v>
      </c>
      <c r="H6" t="s">
        <v>48</v>
      </c>
      <c r="I6" s="7" t="str">
        <f t="shared" si="1"/>
        <v>42.5926297</v>
      </c>
      <c r="J6" s="7">
        <f t="shared" si="2"/>
        <v>-1.3724192</v>
      </c>
      <c r="K6" t="s">
        <v>71</v>
      </c>
      <c r="L6" t="s">
        <v>99</v>
      </c>
      <c r="M6" t="s">
        <v>51</v>
      </c>
      <c r="N6" s="3"/>
      <c r="O6" s="8" t="s">
        <v>91</v>
      </c>
      <c r="P6" t="s">
        <v>80</v>
      </c>
      <c r="Q6" t="s">
        <v>81</v>
      </c>
      <c r="R6" t="s">
        <v>86</v>
      </c>
    </row>
    <row r="7" spans="1:18">
      <c r="A7" s="7" t="str">
        <f t="shared" si="0"/>
        <v>2025_10_04</v>
      </c>
      <c r="B7">
        <v>10</v>
      </c>
      <c r="C7">
        <v>4</v>
      </c>
      <c r="D7" t="s">
        <v>46</v>
      </c>
      <c r="E7">
        <v>2025</v>
      </c>
      <c r="F7" s="14" t="s">
        <v>1007</v>
      </c>
      <c r="G7" t="s">
        <v>47</v>
      </c>
      <c r="H7" t="s">
        <v>48</v>
      </c>
      <c r="I7" s="7" t="str">
        <f t="shared" si="1"/>
        <v>42.5926297</v>
      </c>
      <c r="J7" s="7">
        <f t="shared" si="2"/>
        <v>-1.3724192</v>
      </c>
      <c r="K7" t="s">
        <v>71</v>
      </c>
      <c r="L7" t="s">
        <v>99</v>
      </c>
      <c r="M7" t="s">
        <v>49</v>
      </c>
      <c r="N7" s="3"/>
      <c r="O7" s="8" t="s">
        <v>91</v>
      </c>
      <c r="P7" t="s">
        <v>80</v>
      </c>
      <c r="Q7" t="s">
        <v>81</v>
      </c>
      <c r="R7" t="s">
        <v>86</v>
      </c>
    </row>
    <row r="8" spans="1:18">
      <c r="A8" s="7" t="str">
        <f t="shared" si="0"/>
        <v>2025_08_31</v>
      </c>
      <c r="B8">
        <v>8</v>
      </c>
      <c r="C8">
        <v>31</v>
      </c>
      <c r="D8" t="s">
        <v>41</v>
      </c>
      <c r="E8">
        <v>2025</v>
      </c>
      <c r="F8" s="14" t="s">
        <v>1007</v>
      </c>
      <c r="G8" t="s">
        <v>44</v>
      </c>
      <c r="H8" t="s">
        <v>43</v>
      </c>
      <c r="I8" s="7" t="str">
        <f t="shared" si="1"/>
        <v>42.660696</v>
      </c>
      <c r="J8" s="7">
        <f t="shared" si="2"/>
        <v>0.37464500000000001</v>
      </c>
      <c r="K8" t="s">
        <v>70</v>
      </c>
      <c r="L8" t="s">
        <v>99</v>
      </c>
      <c r="M8" s="10" t="s">
        <v>45</v>
      </c>
      <c r="N8" s="3"/>
      <c r="O8" s="8" t="s">
        <v>89</v>
      </c>
      <c r="P8" t="s">
        <v>80</v>
      </c>
      <c r="Q8" s="11" t="s">
        <v>314</v>
      </c>
      <c r="R8" t="s">
        <v>82</v>
      </c>
    </row>
    <row r="9" spans="1:18">
      <c r="A9" s="7" t="str">
        <f t="shared" si="0"/>
        <v>2025_08_30</v>
      </c>
      <c r="B9">
        <v>8</v>
      </c>
      <c r="C9">
        <v>30</v>
      </c>
      <c r="D9" t="s">
        <v>41</v>
      </c>
      <c r="E9">
        <v>2025</v>
      </c>
      <c r="F9" s="14" t="s">
        <v>1007</v>
      </c>
      <c r="G9" t="s">
        <v>42</v>
      </c>
      <c r="H9" t="s">
        <v>43</v>
      </c>
      <c r="I9" s="7" t="str">
        <f t="shared" si="1"/>
        <v>42.660696</v>
      </c>
      <c r="J9" s="7">
        <f t="shared" si="2"/>
        <v>0.37464500000000001</v>
      </c>
      <c r="K9" t="s">
        <v>70</v>
      </c>
      <c r="L9" t="s">
        <v>99</v>
      </c>
      <c r="M9" s="10" t="s">
        <v>101</v>
      </c>
      <c r="N9" s="3"/>
      <c r="O9" s="8" t="s">
        <v>89</v>
      </c>
      <c r="P9" t="s">
        <v>80</v>
      </c>
      <c r="Q9" t="s">
        <v>100</v>
      </c>
      <c r="R9" t="s">
        <v>82</v>
      </c>
    </row>
    <row r="10" spans="1:18">
      <c r="A10" s="7" t="str">
        <f t="shared" si="0"/>
        <v>2025_07_20</v>
      </c>
      <c r="B10">
        <v>7</v>
      </c>
      <c r="C10">
        <v>20</v>
      </c>
      <c r="D10" t="s">
        <v>36</v>
      </c>
      <c r="E10">
        <v>2025</v>
      </c>
      <c r="F10" s="14" t="s">
        <v>1007</v>
      </c>
      <c r="G10" t="s">
        <v>38</v>
      </c>
      <c r="H10" t="s">
        <v>39</v>
      </c>
      <c r="I10" s="7" t="str">
        <f t="shared" si="1"/>
        <v>42.7427609</v>
      </c>
      <c r="J10" s="7">
        <f t="shared" si="2"/>
        <v>-0.32850639999999998</v>
      </c>
      <c r="K10" t="s">
        <v>69</v>
      </c>
      <c r="L10" t="s">
        <v>99</v>
      </c>
      <c r="M10" s="10" t="s">
        <v>40</v>
      </c>
      <c r="N10" s="3"/>
      <c r="O10" s="8" t="s">
        <v>88</v>
      </c>
      <c r="P10" t="s">
        <v>80</v>
      </c>
      <c r="Q10" s="11" t="s">
        <v>314</v>
      </c>
      <c r="R10" t="s">
        <v>82</v>
      </c>
    </row>
    <row r="11" spans="1:18" ht="66.599999999999994">
      <c r="A11" s="7" t="str">
        <f t="shared" si="0"/>
        <v>2025_06_25</v>
      </c>
      <c r="B11">
        <v>6</v>
      </c>
      <c r="C11">
        <v>25</v>
      </c>
      <c r="D11" t="s">
        <v>36</v>
      </c>
      <c r="E11">
        <v>2025</v>
      </c>
      <c r="F11" s="14" t="s">
        <v>1007</v>
      </c>
      <c r="G11" t="s">
        <v>37</v>
      </c>
      <c r="H11" t="s">
        <v>102</v>
      </c>
      <c r="I11" s="7" t="str">
        <f t="shared" si="1"/>
        <v>55.855405</v>
      </c>
      <c r="J11" s="7">
        <f t="shared" si="2"/>
        <v>-4.5621459</v>
      </c>
      <c r="K11" t="s">
        <v>103</v>
      </c>
      <c r="L11" t="s">
        <v>99</v>
      </c>
      <c r="M11" s="18" t="s">
        <v>1008</v>
      </c>
      <c r="N11" s="3" t="s">
        <v>99</v>
      </c>
      <c r="O11" s="8" t="s">
        <v>88</v>
      </c>
      <c r="P11" t="s">
        <v>302</v>
      </c>
      <c r="Q11" t="s">
        <v>314</v>
      </c>
      <c r="R11" t="s">
        <v>367</v>
      </c>
    </row>
    <row r="12" spans="1:18">
      <c r="A12" s="7" t="str">
        <f t="shared" si="0"/>
        <v>2025_06_08</v>
      </c>
      <c r="B12">
        <v>6</v>
      </c>
      <c r="C12">
        <v>8</v>
      </c>
      <c r="D12" t="s">
        <v>32</v>
      </c>
      <c r="E12">
        <v>2025</v>
      </c>
      <c r="F12" s="14" t="s">
        <v>1007</v>
      </c>
      <c r="G12" t="s">
        <v>33</v>
      </c>
      <c r="H12" t="s">
        <v>34</v>
      </c>
      <c r="I12" s="7" t="str">
        <f t="shared" si="1"/>
        <v>41.7904033</v>
      </c>
      <c r="J12" s="7">
        <f t="shared" si="2"/>
        <v>-1.8201556999999999</v>
      </c>
      <c r="K12" t="s">
        <v>68</v>
      </c>
      <c r="L12" t="s">
        <v>99</v>
      </c>
      <c r="M12" s="3" t="s">
        <v>35</v>
      </c>
      <c r="N12" s="3"/>
      <c r="O12" s="8" t="s">
        <v>88</v>
      </c>
      <c r="P12" t="s">
        <v>80</v>
      </c>
      <c r="Q12" t="s">
        <v>100</v>
      </c>
      <c r="R12" t="s">
        <v>85</v>
      </c>
    </row>
    <row r="13" spans="1:18" ht="28.8">
      <c r="A13" s="7" t="str">
        <f t="shared" si="0"/>
        <v>2025_05_01</v>
      </c>
      <c r="B13">
        <v>5</v>
      </c>
      <c r="C13">
        <v>1</v>
      </c>
      <c r="D13" t="s">
        <v>27</v>
      </c>
      <c r="E13">
        <v>2025</v>
      </c>
      <c r="F13" s="14" t="s">
        <v>1007</v>
      </c>
      <c r="G13" s="5" t="s">
        <v>28</v>
      </c>
      <c r="H13" t="s">
        <v>29</v>
      </c>
      <c r="I13" s="7" t="str">
        <f t="shared" si="1"/>
        <v>41.6174377</v>
      </c>
      <c r="J13" s="7">
        <f t="shared" si="2"/>
        <v>-0.24458679999999999</v>
      </c>
      <c r="K13" t="s">
        <v>67</v>
      </c>
      <c r="L13" t="s">
        <v>99</v>
      </c>
      <c r="M13" s="3" t="s">
        <v>30</v>
      </c>
      <c r="N13" s="3" t="s">
        <v>31</v>
      </c>
      <c r="O13" s="8" t="s">
        <v>88</v>
      </c>
      <c r="P13" t="s">
        <v>80</v>
      </c>
      <c r="Q13" t="s">
        <v>81</v>
      </c>
      <c r="R13" t="s">
        <v>85</v>
      </c>
    </row>
    <row r="14" spans="1:18">
      <c r="A14" s="7" t="str">
        <f t="shared" si="0"/>
        <v>2025_04_06</v>
      </c>
      <c r="B14">
        <v>4</v>
      </c>
      <c r="C14">
        <v>6</v>
      </c>
      <c r="D14" t="s">
        <v>21</v>
      </c>
      <c r="E14">
        <v>2025</v>
      </c>
      <c r="F14" s="14" t="s">
        <v>1007</v>
      </c>
      <c r="G14" t="s">
        <v>25</v>
      </c>
      <c r="H14" t="s">
        <v>23</v>
      </c>
      <c r="I14" s="7" t="str">
        <f t="shared" si="1"/>
        <v>40.2232186</v>
      </c>
      <c r="J14" s="7">
        <f t="shared" si="2"/>
        <v>-1.9812516</v>
      </c>
      <c r="K14" t="s">
        <v>66</v>
      </c>
      <c r="L14" t="s">
        <v>99</v>
      </c>
      <c r="M14" t="s">
        <v>26</v>
      </c>
      <c r="N14" s="3"/>
      <c r="O14" s="8" t="s">
        <v>90</v>
      </c>
      <c r="P14" t="s">
        <v>80</v>
      </c>
      <c r="Q14" s="11" t="s">
        <v>314</v>
      </c>
      <c r="R14" t="s">
        <v>84</v>
      </c>
    </row>
    <row r="15" spans="1:18">
      <c r="A15" s="7" t="str">
        <f t="shared" si="0"/>
        <v>2025_04_05</v>
      </c>
      <c r="B15">
        <v>4</v>
      </c>
      <c r="C15">
        <v>5</v>
      </c>
      <c r="D15" t="s">
        <v>21</v>
      </c>
      <c r="E15">
        <v>2025</v>
      </c>
      <c r="F15" s="14" t="s">
        <v>1007</v>
      </c>
      <c r="G15" t="s">
        <v>22</v>
      </c>
      <c r="H15" t="s">
        <v>23</v>
      </c>
      <c r="I15" s="7" t="str">
        <f t="shared" si="1"/>
        <v>40.2232186</v>
      </c>
      <c r="J15" s="7">
        <f t="shared" si="2"/>
        <v>-1.9812516</v>
      </c>
      <c r="K15" t="s">
        <v>66</v>
      </c>
      <c r="L15" t="s">
        <v>99</v>
      </c>
      <c r="M15" s="10" t="s">
        <v>24</v>
      </c>
      <c r="N15" s="3"/>
      <c r="O15" s="8" t="s">
        <v>90</v>
      </c>
      <c r="P15" t="s">
        <v>80</v>
      </c>
      <c r="Q15" s="11" t="s">
        <v>314</v>
      </c>
      <c r="R15" t="s">
        <v>84</v>
      </c>
    </row>
    <row r="16" spans="1:18">
      <c r="A16" s="7" t="str">
        <f t="shared" si="0"/>
        <v>2025_03_16</v>
      </c>
      <c r="B16">
        <v>3</v>
      </c>
      <c r="C16">
        <v>16</v>
      </c>
      <c r="D16" t="s">
        <v>15</v>
      </c>
      <c r="E16">
        <v>2025</v>
      </c>
      <c r="F16" s="14" t="s">
        <v>1007</v>
      </c>
      <c r="G16" t="s">
        <v>19</v>
      </c>
      <c r="H16" t="s">
        <v>17</v>
      </c>
      <c r="I16" s="7" t="str">
        <f t="shared" si="1"/>
        <v>40.7198717</v>
      </c>
      <c r="J16" s="7">
        <f t="shared" si="2"/>
        <v>0.69514989999999999</v>
      </c>
      <c r="K16" t="s">
        <v>65</v>
      </c>
      <c r="L16" t="s">
        <v>99</v>
      </c>
      <c r="M16" s="10" t="s">
        <v>20</v>
      </c>
      <c r="N16" s="3"/>
      <c r="O16" s="8" t="s">
        <v>89</v>
      </c>
      <c r="P16" t="s">
        <v>104</v>
      </c>
      <c r="Q16" t="s">
        <v>81</v>
      </c>
      <c r="R16" t="s">
        <v>83</v>
      </c>
    </row>
    <row r="17" spans="1:18">
      <c r="A17" s="7" t="str">
        <f t="shared" si="0"/>
        <v>2025_03_15</v>
      </c>
      <c r="B17">
        <v>3</v>
      </c>
      <c r="C17">
        <v>15</v>
      </c>
      <c r="D17" t="s">
        <v>15</v>
      </c>
      <c r="E17">
        <v>2025</v>
      </c>
      <c r="F17" s="14" t="s">
        <v>1007</v>
      </c>
      <c r="G17" t="s">
        <v>16</v>
      </c>
      <c r="H17" t="s">
        <v>17</v>
      </c>
      <c r="I17" s="7" t="str">
        <f t="shared" si="1"/>
        <v>40.7198717</v>
      </c>
      <c r="J17" s="7">
        <f t="shared" si="2"/>
        <v>0.69514989999999999</v>
      </c>
      <c r="K17" t="s">
        <v>65</v>
      </c>
      <c r="L17" t="s">
        <v>99</v>
      </c>
      <c r="M17" s="10" t="s">
        <v>18</v>
      </c>
      <c r="N17" s="3"/>
      <c r="O17" s="8" t="s">
        <v>89</v>
      </c>
      <c r="P17" t="s">
        <v>104</v>
      </c>
      <c r="Q17" s="11" t="s">
        <v>314</v>
      </c>
      <c r="R17" t="s">
        <v>83</v>
      </c>
    </row>
    <row r="18" spans="1:18" ht="15">
      <c r="A18" s="7" t="str">
        <f t="shared" si="0"/>
        <v>2025_02_16</v>
      </c>
      <c r="B18">
        <v>2</v>
      </c>
      <c r="C18">
        <v>16</v>
      </c>
      <c r="D18" t="s">
        <v>10</v>
      </c>
      <c r="E18">
        <v>2025</v>
      </c>
      <c r="F18" s="14" t="s">
        <v>1007</v>
      </c>
      <c r="G18" s="4" t="s">
        <v>11</v>
      </c>
      <c r="H18" t="s">
        <v>12</v>
      </c>
      <c r="I18" s="7" t="str">
        <f t="shared" si="1"/>
        <v>42.3283125</v>
      </c>
      <c r="J18" s="7">
        <f t="shared" si="2"/>
        <v>-0.41783969999999998</v>
      </c>
      <c r="K18" t="s">
        <v>63</v>
      </c>
      <c r="L18" t="s">
        <v>99</v>
      </c>
      <c r="M18" t="s">
        <v>13</v>
      </c>
      <c r="N18" s="3" t="s">
        <v>14</v>
      </c>
      <c r="O18" s="8" t="s">
        <v>88</v>
      </c>
      <c r="P18" t="s">
        <v>80</v>
      </c>
      <c r="Q18" s="11" t="s">
        <v>314</v>
      </c>
      <c r="R18" t="s">
        <v>82</v>
      </c>
    </row>
    <row r="19" spans="1:18">
      <c r="A19" s="7" t="str">
        <f t="shared" si="0"/>
        <v>2025_01_26</v>
      </c>
      <c r="B19">
        <v>1</v>
      </c>
      <c r="C19">
        <v>26</v>
      </c>
      <c r="D19" t="s">
        <v>6</v>
      </c>
      <c r="E19">
        <v>2025</v>
      </c>
      <c r="F19" s="14" t="s">
        <v>1007</v>
      </c>
      <c r="G19" t="s">
        <v>7</v>
      </c>
      <c r="H19" t="s">
        <v>8</v>
      </c>
      <c r="I19" s="7" t="str">
        <f t="shared" si="1"/>
        <v>41.9422982</v>
      </c>
      <c r="J19" s="7">
        <f t="shared" si="2"/>
        <v>-0.37294450000000001</v>
      </c>
      <c r="K19" t="s">
        <v>64</v>
      </c>
      <c r="L19" t="s">
        <v>99</v>
      </c>
      <c r="M19" t="s">
        <v>9</v>
      </c>
      <c r="N19" s="3"/>
      <c r="O19" s="8" t="s">
        <v>88</v>
      </c>
      <c r="P19" t="s">
        <v>80</v>
      </c>
      <c r="Q19" t="s">
        <v>81</v>
      </c>
      <c r="R19" t="s">
        <v>82</v>
      </c>
    </row>
    <row r="20" spans="1:18">
      <c r="A20" s="7" t="str">
        <f t="shared" si="0"/>
        <v>2024_12_15</v>
      </c>
      <c r="B20">
        <v>12</v>
      </c>
      <c r="C20">
        <v>15</v>
      </c>
      <c r="D20" t="s">
        <v>121</v>
      </c>
      <c r="E20">
        <v>2024</v>
      </c>
      <c r="F20" s="14" t="s">
        <v>1007</v>
      </c>
      <c r="G20" t="s">
        <v>277</v>
      </c>
      <c r="H20" t="s">
        <v>282</v>
      </c>
      <c r="I20" s="7" t="str">
        <f t="shared" si="1"/>
        <v>41.5730863</v>
      </c>
      <c r="J20" s="7">
        <f t="shared" si="2"/>
        <v>-0.90241539999999998</v>
      </c>
      <c r="K20" s="10" t="s">
        <v>281</v>
      </c>
      <c r="L20" t="s">
        <v>99</v>
      </c>
      <c r="M20" t="s">
        <v>283</v>
      </c>
      <c r="N20" s="3" t="s">
        <v>278</v>
      </c>
      <c r="O20" t="s">
        <v>88</v>
      </c>
      <c r="P20" t="s">
        <v>80</v>
      </c>
      <c r="Q20" t="s">
        <v>81</v>
      </c>
      <c r="R20" t="s">
        <v>85</v>
      </c>
    </row>
    <row r="21" spans="1:18">
      <c r="A21" s="7" t="str">
        <f t="shared" si="0"/>
        <v>2024_11_10</v>
      </c>
      <c r="B21">
        <v>11</v>
      </c>
      <c r="C21">
        <v>10</v>
      </c>
      <c r="D21" t="s">
        <v>56</v>
      </c>
      <c r="E21">
        <v>2024</v>
      </c>
      <c r="F21" s="14" t="s">
        <v>1007</v>
      </c>
      <c r="G21" t="s">
        <v>275</v>
      </c>
      <c r="H21" t="s">
        <v>286</v>
      </c>
      <c r="I21" s="7" t="str">
        <f t="shared" si="1"/>
        <v>40.6250174</v>
      </c>
      <c r="J21" s="7">
        <f t="shared" si="2"/>
        <v>-1.2172679</v>
      </c>
      <c r="K21" t="s">
        <v>287</v>
      </c>
      <c r="L21" t="s">
        <v>99</v>
      </c>
      <c r="M21" t="s">
        <v>284</v>
      </c>
      <c r="N21" s="3" t="s">
        <v>276</v>
      </c>
      <c r="O21" t="s">
        <v>88</v>
      </c>
      <c r="P21" t="s">
        <v>80</v>
      </c>
      <c r="Q21" s="11" t="s">
        <v>314</v>
      </c>
      <c r="R21" t="s">
        <v>285</v>
      </c>
    </row>
    <row r="22" spans="1:18">
      <c r="A22" s="7" t="str">
        <f t="shared" si="0"/>
        <v>2024_10_06</v>
      </c>
      <c r="B22">
        <v>10</v>
      </c>
      <c r="C22">
        <v>6</v>
      </c>
      <c r="D22" t="s">
        <v>52</v>
      </c>
      <c r="E22">
        <v>2024</v>
      </c>
      <c r="F22" s="14" t="s">
        <v>1007</v>
      </c>
      <c r="G22" t="s">
        <v>293</v>
      </c>
      <c r="H22" t="s">
        <v>289</v>
      </c>
      <c r="I22" s="7" t="str">
        <f t="shared" si="1"/>
        <v>42.2105111</v>
      </c>
      <c r="J22" s="7">
        <f t="shared" si="2"/>
        <v>1.3256441999999999</v>
      </c>
      <c r="K22" t="s">
        <v>290</v>
      </c>
      <c r="L22" t="s">
        <v>99</v>
      </c>
      <c r="M22" s="10" t="s">
        <v>294</v>
      </c>
      <c r="N22" s="3"/>
      <c r="O22" t="s">
        <v>89</v>
      </c>
      <c r="P22" t="s">
        <v>80</v>
      </c>
      <c r="Q22" s="11" t="s">
        <v>314</v>
      </c>
      <c r="R22" t="s">
        <v>292</v>
      </c>
    </row>
    <row r="23" spans="1:18">
      <c r="A23" s="7" t="str">
        <f t="shared" si="0"/>
        <v>2024_10_05</v>
      </c>
      <c r="B23">
        <v>10</v>
      </c>
      <c r="C23">
        <v>5</v>
      </c>
      <c r="D23" t="s">
        <v>46</v>
      </c>
      <c r="E23">
        <v>2024</v>
      </c>
      <c r="F23" s="14" t="s">
        <v>1007</v>
      </c>
      <c r="G23" t="s">
        <v>288</v>
      </c>
      <c r="H23" t="s">
        <v>289</v>
      </c>
      <c r="I23" s="7" t="str">
        <f t="shared" si="1"/>
        <v>42.2105111</v>
      </c>
      <c r="J23" s="7">
        <f t="shared" si="2"/>
        <v>1.3256441999999999</v>
      </c>
      <c r="K23" t="s">
        <v>290</v>
      </c>
      <c r="L23" t="s">
        <v>99</v>
      </c>
      <c r="M23" s="10" t="s">
        <v>291</v>
      </c>
      <c r="N23" s="3" t="s">
        <v>274</v>
      </c>
      <c r="O23" t="s">
        <v>89</v>
      </c>
      <c r="P23" t="s">
        <v>80</v>
      </c>
      <c r="Q23" s="11" t="s">
        <v>314</v>
      </c>
      <c r="R23" t="s">
        <v>292</v>
      </c>
    </row>
    <row r="24" spans="1:18">
      <c r="A24" s="7" t="str">
        <f t="shared" si="0"/>
        <v>2024_09_08</v>
      </c>
      <c r="B24">
        <v>9</v>
      </c>
      <c r="C24">
        <v>8</v>
      </c>
      <c r="D24" t="s">
        <v>129</v>
      </c>
      <c r="E24">
        <v>2024</v>
      </c>
      <c r="F24" s="14" t="s">
        <v>1007</v>
      </c>
      <c r="G24" t="s">
        <v>296</v>
      </c>
      <c r="H24" t="s">
        <v>298</v>
      </c>
      <c r="I24" s="7" t="str">
        <f t="shared" si="1"/>
        <v>42.5962543</v>
      </c>
      <c r="J24" s="7">
        <f t="shared" si="2"/>
        <v>0.6805426</v>
      </c>
      <c r="K24" t="s">
        <v>301</v>
      </c>
      <c r="M24" s="20" t="s">
        <v>1009</v>
      </c>
      <c r="N24" s="3"/>
      <c r="O24" t="s">
        <v>88</v>
      </c>
      <c r="P24" t="s">
        <v>80</v>
      </c>
      <c r="Q24" t="s">
        <v>100</v>
      </c>
      <c r="R24" t="s">
        <v>82</v>
      </c>
    </row>
    <row r="25" spans="1:18">
      <c r="A25" s="7" t="str">
        <f t="shared" si="0"/>
        <v>2024_09_07</v>
      </c>
      <c r="B25">
        <v>9</v>
      </c>
      <c r="C25">
        <v>7</v>
      </c>
      <c r="D25" t="s">
        <v>129</v>
      </c>
      <c r="E25">
        <v>2024</v>
      </c>
      <c r="F25" s="14" t="s">
        <v>1007</v>
      </c>
      <c r="G25" t="s">
        <v>295</v>
      </c>
      <c r="H25" t="s">
        <v>297</v>
      </c>
      <c r="I25" s="7" t="str">
        <f t="shared" si="1"/>
        <v>42.4086307</v>
      </c>
      <c r="J25" s="7">
        <f t="shared" si="2"/>
        <v>0.73617909999999998</v>
      </c>
      <c r="K25" t="s">
        <v>299</v>
      </c>
      <c r="L25" t="s">
        <v>99</v>
      </c>
      <c r="M25" t="s">
        <v>300</v>
      </c>
      <c r="N25" s="3" t="s">
        <v>273</v>
      </c>
      <c r="O25" t="s">
        <v>88</v>
      </c>
      <c r="P25" t="s">
        <v>80</v>
      </c>
      <c r="Q25" s="11" t="s">
        <v>314</v>
      </c>
      <c r="R25" t="s">
        <v>292</v>
      </c>
    </row>
    <row r="26" spans="1:18" ht="79.8">
      <c r="A26" s="7" t="str">
        <f t="shared" si="0"/>
        <v>2024_08_04</v>
      </c>
      <c r="B26">
        <v>8</v>
      </c>
      <c r="C26">
        <v>4</v>
      </c>
      <c r="D26" t="s">
        <v>41</v>
      </c>
      <c r="E26">
        <v>2024</v>
      </c>
      <c r="F26" s="14" t="s">
        <v>1007</v>
      </c>
      <c r="G26" t="s">
        <v>271</v>
      </c>
      <c r="H26" t="s">
        <v>304</v>
      </c>
      <c r="I26" s="7" t="str">
        <f t="shared" si="1"/>
        <v>42.7024541</v>
      </c>
      <c r="J26" s="7">
        <f t="shared" si="2"/>
        <v>-0.76221879999999997</v>
      </c>
      <c r="K26" t="s">
        <v>303</v>
      </c>
      <c r="L26" t="s">
        <v>99</v>
      </c>
      <c r="M26" s="18" t="s">
        <v>1010</v>
      </c>
      <c r="N26" s="3" t="s">
        <v>272</v>
      </c>
      <c r="O26" t="s">
        <v>88</v>
      </c>
      <c r="P26" t="s">
        <v>302</v>
      </c>
      <c r="Q26" t="s">
        <v>100</v>
      </c>
      <c r="R26" t="s">
        <v>82</v>
      </c>
    </row>
    <row r="27" spans="1:18">
      <c r="A27" s="7" t="str">
        <f t="shared" si="0"/>
        <v>2024_07_14</v>
      </c>
      <c r="B27">
        <v>7</v>
      </c>
      <c r="C27">
        <v>14</v>
      </c>
      <c r="D27" t="s">
        <v>36</v>
      </c>
      <c r="E27">
        <v>2024</v>
      </c>
      <c r="F27" s="14" t="s">
        <v>1007</v>
      </c>
      <c r="G27" t="s">
        <v>269</v>
      </c>
      <c r="H27" t="s">
        <v>306</v>
      </c>
      <c r="I27" s="7" t="str">
        <f t="shared" si="1"/>
        <v>42.6661532</v>
      </c>
      <c r="J27" s="7">
        <f t="shared" si="2"/>
        <v>0.1011666</v>
      </c>
      <c r="K27" t="s">
        <v>308</v>
      </c>
      <c r="L27" t="s">
        <v>99</v>
      </c>
      <c r="M27" s="10" t="s">
        <v>309</v>
      </c>
      <c r="N27" s="3" t="s">
        <v>270</v>
      </c>
      <c r="O27" t="s">
        <v>88</v>
      </c>
      <c r="P27" t="s">
        <v>80</v>
      </c>
      <c r="Q27" t="s">
        <v>100</v>
      </c>
      <c r="R27" t="s">
        <v>82</v>
      </c>
    </row>
    <row r="28" spans="1:18">
      <c r="A28" s="7" t="str">
        <f t="shared" si="0"/>
        <v>2024_07_13</v>
      </c>
      <c r="B28">
        <v>7</v>
      </c>
      <c r="C28">
        <v>13</v>
      </c>
      <c r="D28" t="s">
        <v>36</v>
      </c>
      <c r="E28">
        <v>2024</v>
      </c>
      <c r="F28" s="14" t="s">
        <v>1007</v>
      </c>
      <c r="G28" t="s">
        <v>305</v>
      </c>
      <c r="H28" t="s">
        <v>306</v>
      </c>
      <c r="I28" s="7" t="str">
        <f t="shared" si="1"/>
        <v>42.6661532</v>
      </c>
      <c r="J28" s="7">
        <f t="shared" si="2"/>
        <v>0.1011666</v>
      </c>
      <c r="K28" t="s">
        <v>308</v>
      </c>
      <c r="L28" t="s">
        <v>99</v>
      </c>
      <c r="M28" s="10" t="s">
        <v>307</v>
      </c>
      <c r="N28" s="3" t="s">
        <v>268</v>
      </c>
      <c r="O28" t="s">
        <v>88</v>
      </c>
      <c r="P28" t="s">
        <v>80</v>
      </c>
      <c r="Q28" s="11" t="s">
        <v>314</v>
      </c>
      <c r="R28" t="s">
        <v>82</v>
      </c>
    </row>
    <row r="29" spans="1:18">
      <c r="A29" s="7" t="str">
        <f t="shared" si="0"/>
        <v>2024_06_16</v>
      </c>
      <c r="B29">
        <v>6</v>
      </c>
      <c r="C29">
        <v>16</v>
      </c>
      <c r="D29" t="s">
        <v>310</v>
      </c>
      <c r="E29">
        <v>2024</v>
      </c>
      <c r="F29" s="14" t="s">
        <v>1007</v>
      </c>
      <c r="G29" t="s">
        <v>318</v>
      </c>
      <c r="H29" t="s">
        <v>312</v>
      </c>
      <c r="I29" s="7" t="str">
        <f t="shared" si="1"/>
        <v>42.8267602</v>
      </c>
      <c r="J29" s="7">
        <f t="shared" si="2"/>
        <v>0.3226832</v>
      </c>
      <c r="K29" t="s">
        <v>313</v>
      </c>
      <c r="L29" t="s">
        <v>99</v>
      </c>
      <c r="M29" s="10" t="s">
        <v>317</v>
      </c>
      <c r="N29" s="3"/>
      <c r="O29" t="s">
        <v>91</v>
      </c>
      <c r="P29" t="s">
        <v>80</v>
      </c>
      <c r="Q29" s="11" t="s">
        <v>314</v>
      </c>
      <c r="R29" t="s">
        <v>315</v>
      </c>
    </row>
    <row r="30" spans="1:18">
      <c r="A30" s="7" t="str">
        <f t="shared" si="0"/>
        <v>2024_06_15</v>
      </c>
      <c r="B30">
        <v>6</v>
      </c>
      <c r="C30">
        <v>15</v>
      </c>
      <c r="D30" t="s">
        <v>32</v>
      </c>
      <c r="E30">
        <v>2024</v>
      </c>
      <c r="F30" s="14" t="s">
        <v>1007</v>
      </c>
      <c r="G30" t="s">
        <v>311</v>
      </c>
      <c r="H30" t="s">
        <v>312</v>
      </c>
      <c r="I30" s="7" t="str">
        <f t="shared" si="1"/>
        <v>42.8267602</v>
      </c>
      <c r="J30" s="7">
        <f t="shared" si="2"/>
        <v>0.3226832</v>
      </c>
      <c r="K30" t="s">
        <v>313</v>
      </c>
      <c r="L30" t="s">
        <v>99</v>
      </c>
      <c r="M30" s="10" t="s">
        <v>316</v>
      </c>
      <c r="N30" s="3" t="s">
        <v>267</v>
      </c>
      <c r="O30" t="s">
        <v>91</v>
      </c>
      <c r="P30" t="s">
        <v>80</v>
      </c>
      <c r="Q30" t="s">
        <v>81</v>
      </c>
      <c r="R30" t="s">
        <v>315</v>
      </c>
    </row>
    <row r="31" spans="1:18">
      <c r="A31" s="7" t="str">
        <f t="shared" si="0"/>
        <v>2024_05_17</v>
      </c>
      <c r="B31">
        <v>5</v>
      </c>
      <c r="C31">
        <v>17</v>
      </c>
      <c r="D31" t="s">
        <v>27</v>
      </c>
      <c r="E31">
        <v>2024</v>
      </c>
      <c r="F31" s="14" t="s">
        <v>1007</v>
      </c>
      <c r="G31" t="s">
        <v>265</v>
      </c>
      <c r="H31" t="s">
        <v>319</v>
      </c>
      <c r="I31" s="7" t="str">
        <f t="shared" si="1"/>
        <v>43.5314833</v>
      </c>
      <c r="J31" s="7">
        <f t="shared" si="2"/>
        <v>-5.7096539999999996</v>
      </c>
      <c r="K31" t="s">
        <v>322</v>
      </c>
      <c r="L31" t="s">
        <v>99</v>
      </c>
      <c r="M31" t="s">
        <v>99</v>
      </c>
      <c r="N31" s="3" t="s">
        <v>266</v>
      </c>
      <c r="O31" t="s">
        <v>88</v>
      </c>
      <c r="P31" t="s">
        <v>320</v>
      </c>
      <c r="Q31" t="s">
        <v>81</v>
      </c>
      <c r="R31" t="s">
        <v>321</v>
      </c>
    </row>
    <row r="32" spans="1:18">
      <c r="A32" s="7" t="str">
        <f t="shared" si="0"/>
        <v>2024_04_14</v>
      </c>
      <c r="B32">
        <v>4</v>
      </c>
      <c r="C32">
        <v>14</v>
      </c>
      <c r="D32" t="s">
        <v>21</v>
      </c>
      <c r="E32">
        <v>2024</v>
      </c>
      <c r="F32" s="14" t="s">
        <v>1007</v>
      </c>
      <c r="G32" t="s">
        <v>325</v>
      </c>
      <c r="H32" t="s">
        <v>324</v>
      </c>
      <c r="I32" s="7" t="str">
        <f t="shared" si="1"/>
        <v>42.8161185</v>
      </c>
      <c r="J32" s="7">
        <f t="shared" si="2"/>
        <v>-1.9029115000000001</v>
      </c>
      <c r="K32" t="s">
        <v>326</v>
      </c>
      <c r="L32" t="s">
        <v>99</v>
      </c>
      <c r="M32" s="20" t="s">
        <v>1012</v>
      </c>
      <c r="N32" s="3"/>
      <c r="O32" t="s">
        <v>88</v>
      </c>
      <c r="P32" t="s">
        <v>80</v>
      </c>
      <c r="Q32" s="11" t="s">
        <v>314</v>
      </c>
      <c r="R32" t="s">
        <v>86</v>
      </c>
    </row>
    <row r="33" spans="1:18">
      <c r="A33" s="7" t="str">
        <f t="shared" si="0"/>
        <v>2024_04_13</v>
      </c>
      <c r="B33">
        <v>4</v>
      </c>
      <c r="C33">
        <v>13</v>
      </c>
      <c r="D33" t="s">
        <v>21</v>
      </c>
      <c r="E33">
        <v>2024</v>
      </c>
      <c r="F33" s="14" t="s">
        <v>1007</v>
      </c>
      <c r="G33" s="12" t="s">
        <v>323</v>
      </c>
      <c r="H33" t="s">
        <v>324</v>
      </c>
      <c r="I33" s="7" t="str">
        <f t="shared" si="1"/>
        <v>42.8161185</v>
      </c>
      <c r="J33" s="7">
        <f t="shared" si="2"/>
        <v>-1.9029115000000001</v>
      </c>
      <c r="K33" t="s">
        <v>326</v>
      </c>
      <c r="L33" t="s">
        <v>99</v>
      </c>
      <c r="M33" s="20" t="s">
        <v>1011</v>
      </c>
      <c r="N33" s="3" t="s">
        <v>264</v>
      </c>
      <c r="O33" t="s">
        <v>88</v>
      </c>
      <c r="P33" t="s">
        <v>80</v>
      </c>
      <c r="Q33" s="11" t="s">
        <v>314</v>
      </c>
      <c r="R33" t="s">
        <v>86</v>
      </c>
    </row>
    <row r="34" spans="1:18">
      <c r="A34" s="7" t="str">
        <f t="shared" ref="A34:A65" si="3">CONCATENATE(E34,"_",TEXT(B34,"00"),"_",TEXT(C34,"00"))</f>
        <v>2024_03_17</v>
      </c>
      <c r="B34">
        <v>3</v>
      </c>
      <c r="C34">
        <v>17</v>
      </c>
      <c r="D34" t="s">
        <v>15</v>
      </c>
      <c r="E34">
        <v>2024</v>
      </c>
      <c r="F34" s="14" t="s">
        <v>1007</v>
      </c>
      <c r="G34" t="s">
        <v>262</v>
      </c>
      <c r="H34" t="s">
        <v>327</v>
      </c>
      <c r="I34" s="7" t="str">
        <f t="shared" si="1"/>
        <v>41.2093632</v>
      </c>
      <c r="J34" s="7">
        <f t="shared" si="2"/>
        <v>-1.0853410999999999</v>
      </c>
      <c r="K34" t="s">
        <v>328</v>
      </c>
      <c r="L34" t="s">
        <v>99</v>
      </c>
      <c r="M34" s="20" t="s">
        <v>1013</v>
      </c>
      <c r="N34" s="3" t="s">
        <v>263</v>
      </c>
      <c r="O34" t="s">
        <v>88</v>
      </c>
      <c r="P34" t="s">
        <v>80</v>
      </c>
      <c r="Q34" s="11" t="s">
        <v>314</v>
      </c>
      <c r="R34" t="s">
        <v>85</v>
      </c>
    </row>
    <row r="35" spans="1:18">
      <c r="A35" s="7" t="str">
        <f t="shared" si="3"/>
        <v>2024_02_18</v>
      </c>
      <c r="B35">
        <v>2</v>
      </c>
      <c r="C35">
        <v>18</v>
      </c>
      <c r="D35" t="s">
        <v>10</v>
      </c>
      <c r="E35">
        <v>2024</v>
      </c>
      <c r="F35" s="14" t="s">
        <v>1007</v>
      </c>
      <c r="G35" t="s">
        <v>260</v>
      </c>
      <c r="H35" t="s">
        <v>329</v>
      </c>
      <c r="I35" s="7" t="str">
        <f t="shared" si="1"/>
        <v>42.3351825</v>
      </c>
      <c r="J35" s="7">
        <f t="shared" si="2"/>
        <v>0.23817920000000001</v>
      </c>
      <c r="K35" t="s">
        <v>330</v>
      </c>
      <c r="L35" t="s">
        <v>99</v>
      </c>
      <c r="M35" s="20" t="s">
        <v>1014</v>
      </c>
      <c r="N35" s="3" t="s">
        <v>261</v>
      </c>
      <c r="O35" t="s">
        <v>88</v>
      </c>
      <c r="P35" t="s">
        <v>80</v>
      </c>
      <c r="Q35" s="11" t="s">
        <v>314</v>
      </c>
      <c r="R35" t="s">
        <v>82</v>
      </c>
    </row>
    <row r="36" spans="1:18">
      <c r="A36" s="7" t="str">
        <f t="shared" si="3"/>
        <v>2024_01_21</v>
      </c>
      <c r="B36">
        <v>1</v>
      </c>
      <c r="C36">
        <v>21</v>
      </c>
      <c r="D36" t="s">
        <v>6</v>
      </c>
      <c r="E36">
        <v>2024</v>
      </c>
      <c r="F36" s="14" t="s">
        <v>1007</v>
      </c>
      <c r="G36" t="s">
        <v>258</v>
      </c>
      <c r="H36" t="s">
        <v>258</v>
      </c>
      <c r="I36" s="7" t="str">
        <f t="shared" si="1"/>
        <v>42.1753284</v>
      </c>
      <c r="J36" s="7">
        <f t="shared" si="2"/>
        <v>-0.30219489999999999</v>
      </c>
      <c r="K36" t="s">
        <v>331</v>
      </c>
      <c r="L36" t="s">
        <v>99</v>
      </c>
      <c r="M36" s="20" t="s">
        <v>1015</v>
      </c>
      <c r="N36" s="3" t="s">
        <v>259</v>
      </c>
      <c r="O36" t="s">
        <v>88</v>
      </c>
      <c r="P36" t="s">
        <v>80</v>
      </c>
      <c r="Q36" t="s">
        <v>81</v>
      </c>
      <c r="R36" t="s">
        <v>82</v>
      </c>
    </row>
    <row r="37" spans="1:18">
      <c r="A37" s="7" t="str">
        <f t="shared" si="3"/>
        <v>2023_12_17</v>
      </c>
      <c r="B37">
        <v>12</v>
      </c>
      <c r="C37">
        <v>17</v>
      </c>
      <c r="D37" t="s">
        <v>121</v>
      </c>
      <c r="E37">
        <v>2023</v>
      </c>
      <c r="F37" s="14" t="s">
        <v>1007</v>
      </c>
      <c r="G37" t="s">
        <v>332</v>
      </c>
      <c r="H37" t="s">
        <v>256</v>
      </c>
      <c r="I37" s="7" t="str">
        <f t="shared" si="1"/>
        <v>42.2281996</v>
      </c>
      <c r="J37" s="7">
        <f t="shared" si="2"/>
        <v>-0.75384249999999997</v>
      </c>
      <c r="K37" t="s">
        <v>333</v>
      </c>
      <c r="L37" t="s">
        <v>99</v>
      </c>
      <c r="M37" s="20" t="s">
        <v>1016</v>
      </c>
      <c r="N37" s="3" t="s">
        <v>257</v>
      </c>
      <c r="O37" t="s">
        <v>88</v>
      </c>
      <c r="P37" t="s">
        <v>80</v>
      </c>
      <c r="Q37" t="s">
        <v>81</v>
      </c>
      <c r="R37" t="s">
        <v>82</v>
      </c>
    </row>
    <row r="38" spans="1:18">
      <c r="A38" s="7" t="str">
        <f t="shared" si="3"/>
        <v>2023_11_19</v>
      </c>
      <c r="B38">
        <v>11</v>
      </c>
      <c r="C38">
        <v>19</v>
      </c>
      <c r="D38" t="s">
        <v>56</v>
      </c>
      <c r="E38">
        <v>2023</v>
      </c>
      <c r="F38" s="14" t="s">
        <v>1007</v>
      </c>
      <c r="G38" t="s">
        <v>254</v>
      </c>
      <c r="H38" t="s">
        <v>336</v>
      </c>
      <c r="I38" s="7" t="str">
        <f t="shared" si="1"/>
        <v>41.7165384</v>
      </c>
      <c r="J38" s="7">
        <f t="shared" si="2"/>
        <v>-1.7875676</v>
      </c>
      <c r="K38" t="s">
        <v>335</v>
      </c>
      <c r="L38" t="s">
        <v>99</v>
      </c>
      <c r="M38" s="21" t="s">
        <v>1017</v>
      </c>
      <c r="N38" s="3" t="s">
        <v>255</v>
      </c>
      <c r="O38" t="s">
        <v>88</v>
      </c>
      <c r="P38" t="s">
        <v>80</v>
      </c>
      <c r="Q38" s="11" t="s">
        <v>314</v>
      </c>
      <c r="R38" t="s">
        <v>334</v>
      </c>
    </row>
    <row r="39" spans="1:18">
      <c r="A39" s="7" t="str">
        <f t="shared" si="3"/>
        <v>2023_10_10</v>
      </c>
      <c r="B39">
        <v>10</v>
      </c>
      <c r="C39">
        <v>10</v>
      </c>
      <c r="D39" t="s">
        <v>46</v>
      </c>
      <c r="E39">
        <v>2023</v>
      </c>
      <c r="F39" s="14" t="s">
        <v>1007</v>
      </c>
      <c r="G39" t="s">
        <v>252</v>
      </c>
      <c r="H39" t="s">
        <v>338</v>
      </c>
      <c r="I39" s="7" t="str">
        <f t="shared" si="1"/>
        <v>42.5872816</v>
      </c>
      <c r="J39" s="7">
        <f t="shared" si="2"/>
        <v>-2.1610500000000001E-2</v>
      </c>
      <c r="K39" t="s">
        <v>340</v>
      </c>
      <c r="L39" t="s">
        <v>99</v>
      </c>
      <c r="M39" t="s">
        <v>339</v>
      </c>
      <c r="N39" s="3" t="s">
        <v>253</v>
      </c>
      <c r="O39" t="s">
        <v>88</v>
      </c>
      <c r="P39" t="s">
        <v>80</v>
      </c>
      <c r="Q39" t="s">
        <v>81</v>
      </c>
      <c r="R39" t="s">
        <v>82</v>
      </c>
    </row>
    <row r="40" spans="1:18">
      <c r="A40" s="7" t="str">
        <f t="shared" si="3"/>
        <v>2023_09_01</v>
      </c>
      <c r="B40">
        <v>9</v>
      </c>
      <c r="C40">
        <v>1</v>
      </c>
      <c r="D40" t="s">
        <v>129</v>
      </c>
      <c r="E40">
        <v>2023</v>
      </c>
      <c r="F40" s="14" t="s">
        <v>1007</v>
      </c>
      <c r="G40" t="s">
        <v>250</v>
      </c>
      <c r="H40" t="s">
        <v>337</v>
      </c>
      <c r="I40" s="7" t="str">
        <f t="shared" si="1"/>
        <v>41.3408123</v>
      </c>
      <c r="J40" s="7">
        <f t="shared" si="2"/>
        <v>-0.96066180000000001</v>
      </c>
      <c r="K40" t="s">
        <v>341</v>
      </c>
      <c r="L40" t="s">
        <v>99</v>
      </c>
      <c r="M40" s="20" t="s">
        <v>1018</v>
      </c>
      <c r="N40" s="3" t="s">
        <v>251</v>
      </c>
      <c r="O40" t="s">
        <v>88</v>
      </c>
      <c r="P40" t="s">
        <v>80</v>
      </c>
      <c r="Q40" t="s">
        <v>81</v>
      </c>
      <c r="R40" t="s">
        <v>85</v>
      </c>
    </row>
    <row r="41" spans="1:18">
      <c r="A41" s="7" t="str">
        <f t="shared" si="3"/>
        <v>2023_07_29</v>
      </c>
      <c r="B41">
        <v>7</v>
      </c>
      <c r="C41">
        <v>29</v>
      </c>
      <c r="D41" t="s">
        <v>41</v>
      </c>
      <c r="E41">
        <v>2023</v>
      </c>
      <c r="F41" s="14" t="s">
        <v>1007</v>
      </c>
      <c r="G41" t="s">
        <v>248</v>
      </c>
      <c r="H41" t="s">
        <v>39</v>
      </c>
      <c r="I41" s="7" t="str">
        <f t="shared" si="1"/>
        <v>42.7243392</v>
      </c>
      <c r="J41" s="7">
        <f t="shared" si="2"/>
        <v>-0.28688200000000003</v>
      </c>
      <c r="K41" t="s">
        <v>346</v>
      </c>
      <c r="L41" t="s">
        <v>99</v>
      </c>
      <c r="M41" s="20" t="s">
        <v>1019</v>
      </c>
      <c r="N41" s="3" t="s">
        <v>249</v>
      </c>
      <c r="O41" t="s">
        <v>88</v>
      </c>
      <c r="P41" t="s">
        <v>302</v>
      </c>
      <c r="Q41" t="s">
        <v>99</v>
      </c>
      <c r="R41" t="s">
        <v>82</v>
      </c>
    </row>
    <row r="42" spans="1:18">
      <c r="A42" s="7" t="str">
        <f t="shared" si="3"/>
        <v>2023_07_09</v>
      </c>
      <c r="B42">
        <v>7</v>
      </c>
      <c r="C42">
        <v>9</v>
      </c>
      <c r="D42" t="s">
        <v>36</v>
      </c>
      <c r="E42">
        <v>2023</v>
      </c>
      <c r="F42" s="14" t="s">
        <v>1007</v>
      </c>
      <c r="G42" t="s">
        <v>345</v>
      </c>
      <c r="H42" t="s">
        <v>343</v>
      </c>
      <c r="I42" s="7" t="str">
        <f t="shared" si="1"/>
        <v>42.6963666</v>
      </c>
      <c r="J42" s="7">
        <f t="shared" si="2"/>
        <v>-0.32869340000000002</v>
      </c>
      <c r="K42" t="s">
        <v>344</v>
      </c>
      <c r="L42" t="s">
        <v>99</v>
      </c>
      <c r="M42" s="20" t="s">
        <v>1020</v>
      </c>
      <c r="N42" s="3" t="s">
        <v>247</v>
      </c>
      <c r="O42" t="s">
        <v>88</v>
      </c>
      <c r="P42" t="s">
        <v>80</v>
      </c>
      <c r="Q42" s="11" t="s">
        <v>314</v>
      </c>
      <c r="R42" t="s">
        <v>82</v>
      </c>
    </row>
    <row r="43" spans="1:18">
      <c r="A43" s="7" t="str">
        <f t="shared" si="3"/>
        <v>2023_07_08</v>
      </c>
      <c r="B43">
        <v>7</v>
      </c>
      <c r="C43">
        <v>8</v>
      </c>
      <c r="D43" t="s">
        <v>36</v>
      </c>
      <c r="E43">
        <v>2023</v>
      </c>
      <c r="F43" s="14" t="s">
        <v>1007</v>
      </c>
      <c r="G43" t="s">
        <v>342</v>
      </c>
      <c r="H43" t="s">
        <v>343</v>
      </c>
      <c r="I43" s="7" t="str">
        <f t="shared" si="1"/>
        <v>42.6963666</v>
      </c>
      <c r="J43" s="7">
        <f t="shared" si="2"/>
        <v>-0.32869340000000002</v>
      </c>
      <c r="K43" t="s">
        <v>344</v>
      </c>
      <c r="L43" t="s">
        <v>99</v>
      </c>
      <c r="M43" s="20" t="s">
        <v>1021</v>
      </c>
      <c r="N43" s="3" t="s">
        <v>246</v>
      </c>
      <c r="O43" t="s">
        <v>88</v>
      </c>
      <c r="P43" t="s">
        <v>80</v>
      </c>
      <c r="Q43" s="11" t="s">
        <v>314</v>
      </c>
      <c r="R43" t="s">
        <v>82</v>
      </c>
    </row>
    <row r="44" spans="1:18">
      <c r="A44" s="7" t="str">
        <f t="shared" si="3"/>
        <v>2023_06_11</v>
      </c>
      <c r="B44">
        <v>6</v>
      </c>
      <c r="C44">
        <v>11</v>
      </c>
      <c r="D44" t="s">
        <v>310</v>
      </c>
      <c r="E44">
        <v>2023</v>
      </c>
      <c r="F44" s="14" t="s">
        <v>1007</v>
      </c>
      <c r="G44" t="s">
        <v>349</v>
      </c>
      <c r="H44" t="s">
        <v>348</v>
      </c>
      <c r="I44" s="7" t="str">
        <f t="shared" si="1"/>
        <v>42.5546979</v>
      </c>
      <c r="J44" s="7">
        <f t="shared" si="2"/>
        <v>0.25507980000000002</v>
      </c>
      <c r="K44" t="s">
        <v>347</v>
      </c>
      <c r="L44" t="s">
        <v>99</v>
      </c>
      <c r="M44" t="s">
        <v>999</v>
      </c>
      <c r="N44" s="3"/>
      <c r="O44" t="s">
        <v>88</v>
      </c>
      <c r="P44" t="s">
        <v>80</v>
      </c>
      <c r="Q44" s="11" t="s">
        <v>314</v>
      </c>
      <c r="R44" t="s">
        <v>82</v>
      </c>
    </row>
    <row r="45" spans="1:18">
      <c r="A45" s="7" t="str">
        <f t="shared" si="3"/>
        <v>2023_06_10</v>
      </c>
      <c r="B45">
        <v>6</v>
      </c>
      <c r="C45">
        <v>10</v>
      </c>
      <c r="D45" t="s">
        <v>32</v>
      </c>
      <c r="E45">
        <v>2023</v>
      </c>
      <c r="F45" s="14" t="s">
        <v>1007</v>
      </c>
      <c r="G45" s="5" t="s">
        <v>350</v>
      </c>
      <c r="H45" t="s">
        <v>348</v>
      </c>
      <c r="I45" s="7" t="str">
        <f t="shared" si="1"/>
        <v>42.5546979</v>
      </c>
      <c r="J45" s="7">
        <f t="shared" si="2"/>
        <v>0.25507980000000002</v>
      </c>
      <c r="K45" t="s">
        <v>347</v>
      </c>
      <c r="L45" t="s">
        <v>99</v>
      </c>
      <c r="M45" s="20" t="s">
        <v>1022</v>
      </c>
      <c r="N45" s="3" t="s">
        <v>245</v>
      </c>
      <c r="O45" t="s">
        <v>88</v>
      </c>
      <c r="P45" t="s">
        <v>80</v>
      </c>
      <c r="Q45" s="11" t="s">
        <v>314</v>
      </c>
      <c r="R45" t="s">
        <v>82</v>
      </c>
    </row>
    <row r="46" spans="1:18">
      <c r="A46" s="7" t="str">
        <f t="shared" si="3"/>
        <v>2023_05_28</v>
      </c>
      <c r="B46">
        <v>5</v>
      </c>
      <c r="C46">
        <v>28</v>
      </c>
      <c r="D46" t="s">
        <v>351</v>
      </c>
      <c r="E46">
        <v>2023</v>
      </c>
      <c r="F46" s="14" t="s">
        <v>1007</v>
      </c>
      <c r="G46" t="s">
        <v>352</v>
      </c>
      <c r="H46" t="s">
        <v>353</v>
      </c>
      <c r="I46" s="7" t="str">
        <f t="shared" si="1"/>
        <v>42.1262349</v>
      </c>
      <c r="J46" s="7">
        <f t="shared" si="2"/>
        <v>-0.288962</v>
      </c>
      <c r="K46" t="s">
        <v>354</v>
      </c>
      <c r="L46" t="s">
        <v>99</v>
      </c>
      <c r="M46" s="20" t="s">
        <v>1023</v>
      </c>
      <c r="N46" s="3"/>
      <c r="O46" t="s">
        <v>91</v>
      </c>
      <c r="P46" t="s">
        <v>80</v>
      </c>
      <c r="Q46" s="11" t="s">
        <v>314</v>
      </c>
      <c r="R46" t="s">
        <v>82</v>
      </c>
    </row>
    <row r="47" spans="1:18" ht="28.8">
      <c r="A47" s="7" t="str">
        <f t="shared" si="3"/>
        <v>2023_05_27</v>
      </c>
      <c r="B47">
        <v>5</v>
      </c>
      <c r="C47">
        <v>27</v>
      </c>
      <c r="D47" t="s">
        <v>27</v>
      </c>
      <c r="E47">
        <v>2023</v>
      </c>
      <c r="F47" s="14" t="s">
        <v>1007</v>
      </c>
      <c r="G47" s="5" t="s">
        <v>1000</v>
      </c>
      <c r="H47" t="s">
        <v>353</v>
      </c>
      <c r="I47" s="7" t="str">
        <f t="shared" si="1"/>
        <v>42.1262349</v>
      </c>
      <c r="J47" s="7">
        <f t="shared" si="2"/>
        <v>-0.288962</v>
      </c>
      <c r="K47" t="s">
        <v>354</v>
      </c>
      <c r="L47" t="s">
        <v>99</v>
      </c>
      <c r="M47" s="20" t="s">
        <v>1001</v>
      </c>
      <c r="N47" s="3" t="s">
        <v>244</v>
      </c>
      <c r="O47" t="s">
        <v>91</v>
      </c>
      <c r="P47" t="s">
        <v>80</v>
      </c>
      <c r="Q47" s="11" t="s">
        <v>314</v>
      </c>
      <c r="R47" t="s">
        <v>82</v>
      </c>
    </row>
    <row r="48" spans="1:18">
      <c r="A48" s="7" t="str">
        <f t="shared" si="3"/>
        <v>2023_04_30</v>
      </c>
      <c r="B48">
        <v>4</v>
      </c>
      <c r="C48">
        <v>30</v>
      </c>
      <c r="D48" t="s">
        <v>21</v>
      </c>
      <c r="E48">
        <v>2023</v>
      </c>
      <c r="F48" s="14" t="s">
        <v>1007</v>
      </c>
      <c r="G48" t="s">
        <v>356</v>
      </c>
      <c r="H48" t="s">
        <v>357</v>
      </c>
      <c r="I48" s="7" t="str">
        <f t="shared" si="1"/>
        <v>40.9901505</v>
      </c>
      <c r="J48" s="7">
        <f t="shared" si="2"/>
        <v>0.91357820000000001</v>
      </c>
      <c r="K48" t="s">
        <v>358</v>
      </c>
      <c r="L48" t="s">
        <v>99</v>
      </c>
      <c r="M48" s="20" t="s">
        <v>1025</v>
      </c>
      <c r="N48" s="3"/>
      <c r="O48" t="s">
        <v>88</v>
      </c>
      <c r="P48" t="s">
        <v>80</v>
      </c>
      <c r="Q48" s="11" t="s">
        <v>314</v>
      </c>
      <c r="R48" t="s">
        <v>83</v>
      </c>
    </row>
    <row r="49" spans="1:18">
      <c r="A49" s="7" t="str">
        <f t="shared" si="3"/>
        <v>2023_04_29</v>
      </c>
      <c r="B49">
        <v>4</v>
      </c>
      <c r="C49">
        <v>29</v>
      </c>
      <c r="D49" t="s">
        <v>21</v>
      </c>
      <c r="E49">
        <v>2023</v>
      </c>
      <c r="F49" s="14" t="s">
        <v>1007</v>
      </c>
      <c r="G49" t="s">
        <v>355</v>
      </c>
      <c r="H49" t="s">
        <v>357</v>
      </c>
      <c r="I49" s="7" t="str">
        <f t="shared" si="1"/>
        <v>40.9901505</v>
      </c>
      <c r="J49" s="7">
        <f t="shared" si="2"/>
        <v>0.91357820000000001</v>
      </c>
      <c r="K49" t="s">
        <v>358</v>
      </c>
      <c r="L49" t="s">
        <v>99</v>
      </c>
      <c r="M49" s="20" t="s">
        <v>1024</v>
      </c>
      <c r="N49" s="3" t="s">
        <v>243</v>
      </c>
      <c r="O49" t="s">
        <v>88</v>
      </c>
      <c r="P49" t="s">
        <v>80</v>
      </c>
      <c r="Q49" t="s">
        <v>81</v>
      </c>
      <c r="R49" t="s">
        <v>83</v>
      </c>
    </row>
    <row r="50" spans="1:18">
      <c r="A50" s="7" t="str">
        <f t="shared" si="3"/>
        <v>2023_03_12</v>
      </c>
      <c r="B50">
        <v>3</v>
      </c>
      <c r="C50">
        <v>12</v>
      </c>
      <c r="D50" t="s">
        <v>359</v>
      </c>
      <c r="E50">
        <v>2023</v>
      </c>
      <c r="F50" s="14" t="s">
        <v>1007</v>
      </c>
      <c r="G50" t="s">
        <v>365</v>
      </c>
      <c r="H50" t="s">
        <v>362</v>
      </c>
      <c r="I50" s="7" t="str">
        <f t="shared" si="1"/>
        <v>42.6699037</v>
      </c>
      <c r="J50" s="7">
        <f t="shared" si="2"/>
        <v>-2.356951</v>
      </c>
      <c r="K50" t="s">
        <v>363</v>
      </c>
      <c r="L50" t="s">
        <v>99</v>
      </c>
      <c r="M50" s="10" t="s">
        <v>361</v>
      </c>
      <c r="N50" s="3"/>
      <c r="O50" t="s">
        <v>88</v>
      </c>
      <c r="P50" t="s">
        <v>80</v>
      </c>
      <c r="Q50" s="11" t="s">
        <v>314</v>
      </c>
      <c r="R50" t="s">
        <v>364</v>
      </c>
    </row>
    <row r="51" spans="1:18">
      <c r="A51" s="7" t="str">
        <f t="shared" si="3"/>
        <v>2023_03_11</v>
      </c>
      <c r="B51">
        <v>3</v>
      </c>
      <c r="C51">
        <v>11</v>
      </c>
      <c r="D51" t="s">
        <v>15</v>
      </c>
      <c r="E51">
        <v>2023</v>
      </c>
      <c r="F51" s="14" t="s">
        <v>1007</v>
      </c>
      <c r="G51" t="s">
        <v>366</v>
      </c>
      <c r="H51" t="s">
        <v>362</v>
      </c>
      <c r="I51" s="7" t="str">
        <f t="shared" si="1"/>
        <v>42.6699037</v>
      </c>
      <c r="J51" s="7">
        <f t="shared" si="2"/>
        <v>-2.356951</v>
      </c>
      <c r="K51" t="s">
        <v>363</v>
      </c>
      <c r="L51" t="s">
        <v>99</v>
      </c>
      <c r="M51" s="10" t="s">
        <v>360</v>
      </c>
      <c r="N51" s="3" t="s">
        <v>242</v>
      </c>
      <c r="O51" t="s">
        <v>88</v>
      </c>
      <c r="P51" t="s">
        <v>80</v>
      </c>
      <c r="Q51" s="11" t="s">
        <v>314</v>
      </c>
      <c r="R51" t="s">
        <v>364</v>
      </c>
    </row>
    <row r="52" spans="1:18">
      <c r="A52" s="7" t="str">
        <f t="shared" si="3"/>
        <v>2023_02_12</v>
      </c>
      <c r="B52">
        <v>2</v>
      </c>
      <c r="C52">
        <v>12</v>
      </c>
      <c r="D52" t="s">
        <v>10</v>
      </c>
      <c r="E52">
        <v>2023</v>
      </c>
      <c r="F52" s="14" t="s">
        <v>1007</v>
      </c>
      <c r="G52" t="s">
        <v>1003</v>
      </c>
      <c r="H52" t="s">
        <v>1002</v>
      </c>
      <c r="I52" s="7" t="str">
        <f t="shared" si="1"/>
        <v>42.4191702</v>
      </c>
      <c r="J52" s="7">
        <f t="shared" si="2"/>
        <v>-0.8052433</v>
      </c>
      <c r="K52" t="s">
        <v>1036</v>
      </c>
      <c r="L52" t="s">
        <v>99</v>
      </c>
      <c r="M52" s="20" t="s">
        <v>1026</v>
      </c>
      <c r="N52" s="3" t="s">
        <v>241</v>
      </c>
      <c r="O52" t="s">
        <v>88</v>
      </c>
      <c r="P52" t="s">
        <v>80</v>
      </c>
      <c r="Q52" t="s">
        <v>314</v>
      </c>
      <c r="R52" t="s">
        <v>82</v>
      </c>
    </row>
    <row r="53" spans="1:18">
      <c r="A53" s="7" t="str">
        <f t="shared" si="3"/>
        <v>2022_12_18</v>
      </c>
      <c r="B53">
        <v>12</v>
      </c>
      <c r="C53">
        <v>18</v>
      </c>
      <c r="D53" t="s">
        <v>121</v>
      </c>
      <c r="E53">
        <v>2022</v>
      </c>
      <c r="F53" s="14" t="s">
        <v>1007</v>
      </c>
      <c r="G53" t="s">
        <v>239</v>
      </c>
      <c r="H53" t="s">
        <v>369</v>
      </c>
      <c r="I53" s="7" t="str">
        <f t="shared" si="1"/>
        <v>42.1322309</v>
      </c>
      <c r="J53" s="7">
        <f t="shared" si="2"/>
        <v>-1.312028</v>
      </c>
      <c r="K53" t="s">
        <v>368</v>
      </c>
      <c r="L53" t="s">
        <v>99</v>
      </c>
      <c r="M53" t="s">
        <v>1004</v>
      </c>
      <c r="N53" s="3" t="s">
        <v>240</v>
      </c>
      <c r="O53" t="s">
        <v>88</v>
      </c>
      <c r="P53" t="s">
        <v>80</v>
      </c>
      <c r="Q53" t="s">
        <v>81</v>
      </c>
      <c r="R53" t="s">
        <v>85</v>
      </c>
    </row>
    <row r="54" spans="1:18">
      <c r="A54" s="7" t="str">
        <f t="shared" si="3"/>
        <v>2022_11_20</v>
      </c>
      <c r="B54">
        <v>11</v>
      </c>
      <c r="C54">
        <v>20</v>
      </c>
      <c r="D54" t="s">
        <v>56</v>
      </c>
      <c r="E54">
        <v>2022</v>
      </c>
      <c r="F54" s="14" t="s">
        <v>1007</v>
      </c>
      <c r="G54" t="s">
        <v>237</v>
      </c>
      <c r="H54" t="s">
        <v>371</v>
      </c>
      <c r="I54" s="7" t="str">
        <f t="shared" si="1"/>
        <v>42.2824179</v>
      </c>
      <c r="J54" s="7">
        <f t="shared" si="2"/>
        <v>-7.98846E-2</v>
      </c>
      <c r="K54" t="s">
        <v>372</v>
      </c>
      <c r="L54" t="s">
        <v>99</v>
      </c>
      <c r="M54" s="10" t="s">
        <v>370</v>
      </c>
      <c r="N54" s="3" t="s">
        <v>238</v>
      </c>
      <c r="O54" t="s">
        <v>88</v>
      </c>
      <c r="P54" t="s">
        <v>80</v>
      </c>
      <c r="Q54" t="s">
        <v>314</v>
      </c>
      <c r="R54" t="s">
        <v>82</v>
      </c>
    </row>
    <row r="55" spans="1:18">
      <c r="A55" s="7" t="str">
        <f t="shared" si="3"/>
        <v>2022_10_23</v>
      </c>
      <c r="B55">
        <v>10</v>
      </c>
      <c r="C55">
        <v>23</v>
      </c>
      <c r="D55" t="s">
        <v>46</v>
      </c>
      <c r="E55">
        <v>2022</v>
      </c>
      <c r="F55" s="14" t="s">
        <v>1007</v>
      </c>
      <c r="G55" t="s">
        <v>235</v>
      </c>
      <c r="H55" t="s">
        <v>374</v>
      </c>
      <c r="I55" s="7" t="str">
        <f t="shared" si="1"/>
        <v>41.8854176</v>
      </c>
      <c r="J55" s="7">
        <f t="shared" si="2"/>
        <v>-2.7880938999999998</v>
      </c>
      <c r="K55" s="10" t="s">
        <v>373</v>
      </c>
      <c r="L55" t="s">
        <v>99</v>
      </c>
      <c r="M55" t="s">
        <v>1004</v>
      </c>
      <c r="N55" s="3"/>
      <c r="O55" t="s">
        <v>88</v>
      </c>
      <c r="P55" t="s">
        <v>80</v>
      </c>
      <c r="Q55" t="s">
        <v>81</v>
      </c>
      <c r="R55" t="s">
        <v>334</v>
      </c>
    </row>
    <row r="56" spans="1:18">
      <c r="A56" s="7" t="str">
        <f t="shared" si="3"/>
        <v>2022_10_22</v>
      </c>
      <c r="B56">
        <v>10</v>
      </c>
      <c r="C56">
        <v>22</v>
      </c>
      <c r="D56" t="s">
        <v>46</v>
      </c>
      <c r="E56">
        <v>2022</v>
      </c>
      <c r="F56" s="14" t="s">
        <v>1007</v>
      </c>
      <c r="G56" t="s">
        <v>235</v>
      </c>
      <c r="H56" t="s">
        <v>374</v>
      </c>
      <c r="I56" s="7" t="str">
        <f t="shared" si="1"/>
        <v>41.8854176</v>
      </c>
      <c r="J56" s="7">
        <f t="shared" si="2"/>
        <v>-2.7880938999999998</v>
      </c>
      <c r="K56" s="10" t="s">
        <v>373</v>
      </c>
      <c r="L56" t="s">
        <v>99</v>
      </c>
      <c r="M56" t="s">
        <v>1004</v>
      </c>
      <c r="N56" s="3" t="s">
        <v>236</v>
      </c>
      <c r="O56" t="s">
        <v>88</v>
      </c>
      <c r="P56" t="s">
        <v>80</v>
      </c>
      <c r="Q56" t="s">
        <v>81</v>
      </c>
      <c r="R56" t="s">
        <v>334</v>
      </c>
    </row>
    <row r="57" spans="1:18">
      <c r="A57" s="7" t="str">
        <f t="shared" si="3"/>
        <v>2022_09_04</v>
      </c>
      <c r="B57">
        <v>9</v>
      </c>
      <c r="C57">
        <v>4</v>
      </c>
      <c r="D57" t="s">
        <v>129</v>
      </c>
      <c r="E57">
        <v>2022</v>
      </c>
      <c r="F57" s="14" t="s">
        <v>1007</v>
      </c>
      <c r="G57" t="s">
        <v>233</v>
      </c>
      <c r="H57" t="s">
        <v>378</v>
      </c>
      <c r="I57" s="7" t="str">
        <f t="shared" si="1"/>
        <v>42.8355432</v>
      </c>
      <c r="J57" s="7">
        <f t="shared" si="2"/>
        <v>-0.42948589999999998</v>
      </c>
      <c r="K57" t="s">
        <v>377</v>
      </c>
      <c r="L57" t="s">
        <v>99</v>
      </c>
      <c r="M57" t="s">
        <v>1004</v>
      </c>
      <c r="N57" s="3"/>
      <c r="O57" t="s">
        <v>88</v>
      </c>
      <c r="P57" t="s">
        <v>302</v>
      </c>
      <c r="Q57" t="s">
        <v>314</v>
      </c>
      <c r="R57" t="s">
        <v>315</v>
      </c>
    </row>
    <row r="58" spans="1:18">
      <c r="A58" s="7" t="str">
        <f t="shared" si="3"/>
        <v>2022_09_03</v>
      </c>
      <c r="B58">
        <v>9</v>
      </c>
      <c r="C58">
        <v>3</v>
      </c>
      <c r="D58" t="s">
        <v>129</v>
      </c>
      <c r="E58">
        <v>2022</v>
      </c>
      <c r="F58" s="14" t="s">
        <v>1007</v>
      </c>
      <c r="G58" t="s">
        <v>233</v>
      </c>
      <c r="H58" t="s">
        <v>375</v>
      </c>
      <c r="I58" s="7" t="str">
        <f t="shared" si="1"/>
        <v>42.8659717</v>
      </c>
      <c r="J58" s="7">
        <f t="shared" si="2"/>
        <v>-0.45867639999999998</v>
      </c>
      <c r="K58" t="s">
        <v>376</v>
      </c>
      <c r="L58" t="s">
        <v>99</v>
      </c>
      <c r="M58" t="s">
        <v>1004</v>
      </c>
      <c r="N58" s="3" t="s">
        <v>234</v>
      </c>
      <c r="O58" t="s">
        <v>88</v>
      </c>
      <c r="P58" t="s">
        <v>302</v>
      </c>
      <c r="Q58" t="s">
        <v>314</v>
      </c>
      <c r="R58" t="s">
        <v>315</v>
      </c>
    </row>
    <row r="59" spans="1:18">
      <c r="A59" s="7" t="str">
        <f t="shared" si="3"/>
        <v>2022_08_01</v>
      </c>
      <c r="B59">
        <v>8</v>
      </c>
      <c r="C59">
        <v>1</v>
      </c>
      <c r="D59" t="s">
        <v>41</v>
      </c>
      <c r="E59">
        <v>2022</v>
      </c>
      <c r="F59" s="14" t="s">
        <v>1007</v>
      </c>
      <c r="G59" t="s">
        <v>231</v>
      </c>
      <c r="H59" t="s">
        <v>43</v>
      </c>
      <c r="I59" s="7" t="str">
        <f t="shared" si="1"/>
        <v>42.660696</v>
      </c>
      <c r="J59" s="7">
        <f t="shared" si="2"/>
        <v>0.37464500000000001</v>
      </c>
      <c r="K59" t="s">
        <v>379</v>
      </c>
      <c r="L59" t="s">
        <v>99</v>
      </c>
      <c r="M59" t="s">
        <v>1004</v>
      </c>
      <c r="N59" s="3" t="s">
        <v>232</v>
      </c>
      <c r="O59" t="s">
        <v>88</v>
      </c>
      <c r="P59" t="s">
        <v>80</v>
      </c>
      <c r="Q59" t="s">
        <v>100</v>
      </c>
      <c r="R59" t="s">
        <v>82</v>
      </c>
    </row>
    <row r="60" spans="1:18">
      <c r="A60" s="7" t="str">
        <f t="shared" si="3"/>
        <v>2022_07_10</v>
      </c>
      <c r="B60">
        <v>7</v>
      </c>
      <c r="C60">
        <v>10</v>
      </c>
      <c r="D60" t="s">
        <v>36</v>
      </c>
      <c r="E60">
        <v>2022</v>
      </c>
      <c r="F60" s="14" t="s">
        <v>1007</v>
      </c>
      <c r="G60" t="s">
        <v>381</v>
      </c>
      <c r="H60" t="s">
        <v>383</v>
      </c>
      <c r="I60" s="7" t="str">
        <f t="shared" si="1"/>
        <v>42.6772647</v>
      </c>
      <c r="J60" s="7">
        <f t="shared" si="2"/>
        <v>-0.12642809999999999</v>
      </c>
      <c r="K60" t="s">
        <v>382</v>
      </c>
      <c r="L60" t="s">
        <v>99</v>
      </c>
      <c r="M60" t="s">
        <v>1004</v>
      </c>
      <c r="N60" s="3"/>
      <c r="O60" t="s">
        <v>88</v>
      </c>
      <c r="P60" t="s">
        <v>80</v>
      </c>
      <c r="Q60" t="s">
        <v>314</v>
      </c>
      <c r="R60" t="s">
        <v>82</v>
      </c>
    </row>
    <row r="61" spans="1:18" ht="28.8">
      <c r="A61" s="7" t="str">
        <f t="shared" si="3"/>
        <v>2022_07_09</v>
      </c>
      <c r="B61">
        <v>7</v>
      </c>
      <c r="C61">
        <v>9</v>
      </c>
      <c r="D61" t="s">
        <v>36</v>
      </c>
      <c r="E61">
        <v>2022</v>
      </c>
      <c r="F61" s="14" t="s">
        <v>1007</v>
      </c>
      <c r="G61" s="5" t="s">
        <v>380</v>
      </c>
      <c r="H61" t="s">
        <v>383</v>
      </c>
      <c r="I61" s="7" t="str">
        <f t="shared" si="1"/>
        <v>42.6772647</v>
      </c>
      <c r="J61" s="7">
        <f t="shared" si="2"/>
        <v>-0.12642809999999999</v>
      </c>
      <c r="K61" t="s">
        <v>382</v>
      </c>
      <c r="L61" t="s">
        <v>99</v>
      </c>
      <c r="M61" t="s">
        <v>1004</v>
      </c>
      <c r="N61" s="3" t="s">
        <v>230</v>
      </c>
      <c r="O61" t="s">
        <v>88</v>
      </c>
      <c r="P61" t="s">
        <v>80</v>
      </c>
      <c r="Q61" t="s">
        <v>314</v>
      </c>
      <c r="R61" t="s">
        <v>82</v>
      </c>
    </row>
    <row r="62" spans="1:18">
      <c r="A62" s="7" t="str">
        <f t="shared" si="3"/>
        <v>2022_06_12</v>
      </c>
      <c r="B62">
        <v>6</v>
      </c>
      <c r="C62">
        <v>12</v>
      </c>
      <c r="D62" t="s">
        <v>32</v>
      </c>
      <c r="E62">
        <v>2022</v>
      </c>
      <c r="F62" s="14" t="s">
        <v>1007</v>
      </c>
      <c r="G62" t="s">
        <v>385</v>
      </c>
      <c r="H62" t="s">
        <v>388</v>
      </c>
      <c r="I62" s="7" t="str">
        <f t="shared" si="1"/>
        <v>42.2909468</v>
      </c>
      <c r="J62" s="7">
        <f t="shared" si="2"/>
        <v>0.52750109999999995</v>
      </c>
      <c r="K62" t="s">
        <v>389</v>
      </c>
      <c r="L62" t="s">
        <v>99</v>
      </c>
      <c r="M62" t="s">
        <v>1004</v>
      </c>
      <c r="N62" s="3"/>
      <c r="O62" t="s">
        <v>88</v>
      </c>
      <c r="P62" t="s">
        <v>80</v>
      </c>
      <c r="Q62" t="s">
        <v>314</v>
      </c>
      <c r="R62" t="s">
        <v>82</v>
      </c>
    </row>
    <row r="63" spans="1:18" ht="28.8">
      <c r="A63" s="7" t="str">
        <f t="shared" si="3"/>
        <v>2022_06_11</v>
      </c>
      <c r="B63">
        <v>6</v>
      </c>
      <c r="C63">
        <v>11</v>
      </c>
      <c r="D63" t="s">
        <v>32</v>
      </c>
      <c r="E63">
        <v>2022</v>
      </c>
      <c r="F63" s="14" t="s">
        <v>1007</v>
      </c>
      <c r="G63" s="5" t="s">
        <v>384</v>
      </c>
      <c r="H63" t="s">
        <v>386</v>
      </c>
      <c r="I63" s="7" t="str">
        <f t="shared" si="1"/>
        <v>42.4243928</v>
      </c>
      <c r="J63" s="7">
        <f t="shared" si="2"/>
        <v>0.64602139999999997</v>
      </c>
      <c r="K63" t="s">
        <v>387</v>
      </c>
      <c r="L63" t="s">
        <v>99</v>
      </c>
      <c r="M63" t="s">
        <v>1004</v>
      </c>
      <c r="N63" s="3" t="s">
        <v>229</v>
      </c>
      <c r="O63" t="s">
        <v>88</v>
      </c>
      <c r="P63" t="s">
        <v>80</v>
      </c>
      <c r="Q63" t="s">
        <v>81</v>
      </c>
      <c r="R63" t="s">
        <v>82</v>
      </c>
    </row>
    <row r="64" spans="1:18">
      <c r="A64" s="7" t="str">
        <f t="shared" si="3"/>
        <v>2022_05_22</v>
      </c>
      <c r="B64">
        <v>5</v>
      </c>
      <c r="C64">
        <v>22</v>
      </c>
      <c r="D64" t="s">
        <v>27</v>
      </c>
      <c r="E64">
        <v>2022</v>
      </c>
      <c r="F64" s="14" t="s">
        <v>1007</v>
      </c>
      <c r="G64" t="s">
        <v>227</v>
      </c>
      <c r="H64" t="s">
        <v>391</v>
      </c>
      <c r="I64" s="7" t="str">
        <f t="shared" si="1"/>
        <v>42.5473753</v>
      </c>
      <c r="J64" s="7">
        <f t="shared" si="2"/>
        <v>0.13082460000000001</v>
      </c>
      <c r="K64" t="s">
        <v>392</v>
      </c>
      <c r="L64" t="s">
        <v>99</v>
      </c>
      <c r="M64" t="s">
        <v>1004</v>
      </c>
      <c r="N64" s="3" t="s">
        <v>228</v>
      </c>
      <c r="O64" t="s">
        <v>88</v>
      </c>
      <c r="P64" t="s">
        <v>80</v>
      </c>
      <c r="Q64" t="s">
        <v>314</v>
      </c>
      <c r="R64" t="s">
        <v>82</v>
      </c>
    </row>
    <row r="65" spans="1:18">
      <c r="A65" s="7" t="str">
        <f t="shared" si="3"/>
        <v>2022_05_21</v>
      </c>
      <c r="B65">
        <v>5</v>
      </c>
      <c r="C65">
        <v>21</v>
      </c>
      <c r="D65" t="s">
        <v>351</v>
      </c>
      <c r="E65">
        <v>2022</v>
      </c>
      <c r="F65" s="14" t="s">
        <v>1007</v>
      </c>
      <c r="G65" t="s">
        <v>390</v>
      </c>
      <c r="H65" t="s">
        <v>85</v>
      </c>
      <c r="I65" s="7" t="str">
        <f t="shared" si="1"/>
        <v>41.651748</v>
      </c>
      <c r="J65" s="7">
        <f t="shared" si="2"/>
        <v>-0.93618040000000002</v>
      </c>
      <c r="K65" t="s">
        <v>394</v>
      </c>
      <c r="L65" t="s">
        <v>99</v>
      </c>
      <c r="M65" t="s">
        <v>1004</v>
      </c>
      <c r="N65" s="3"/>
      <c r="O65" t="s">
        <v>88</v>
      </c>
      <c r="P65" t="s">
        <v>393</v>
      </c>
      <c r="Q65" t="s">
        <v>81</v>
      </c>
      <c r="R65" t="s">
        <v>85</v>
      </c>
    </row>
    <row r="66" spans="1:18">
      <c r="A66" s="7" t="str">
        <f t="shared" ref="A66:A77" si="4">CONCATENATE(E66,"_",TEXT(B66,"00"),"_",TEXT(C66,"00"))</f>
        <v>2022_04_24</v>
      </c>
      <c r="B66">
        <v>4</v>
      </c>
      <c r="C66">
        <v>24</v>
      </c>
      <c r="D66" t="s">
        <v>21</v>
      </c>
      <c r="E66">
        <v>2022</v>
      </c>
      <c r="F66" s="14" t="s">
        <v>1007</v>
      </c>
      <c r="G66" t="s">
        <v>225</v>
      </c>
      <c r="H66" t="s">
        <v>396</v>
      </c>
      <c r="I66" s="7" t="str">
        <f t="shared" ref="I66:I129" si="5">MID(K66,FIND("@",K66)+1,FIND(",",K66,FIND("@",K66))-FIND("@",K66)-1)</f>
        <v>42.312874</v>
      </c>
      <c r="J66" s="7">
        <f t="shared" ref="J66:J129" si="6">VALUE(SUBSTITUTE(MID(K66,FIND(",",K66,FIND("@",K66))+1,FIND(",",K66,FIND(",",K66,FIND("@",K66))+1)-FIND(",",K66,FIND("@",K66))-1),".",","))</f>
        <v>-2.3068730999999998</v>
      </c>
      <c r="K66" t="s">
        <v>395</v>
      </c>
      <c r="L66" t="s">
        <v>99</v>
      </c>
      <c r="M66" t="s">
        <v>1004</v>
      </c>
      <c r="N66" s="3" t="s">
        <v>226</v>
      </c>
      <c r="O66" t="s">
        <v>88</v>
      </c>
      <c r="P66" t="s">
        <v>80</v>
      </c>
      <c r="Q66" t="s">
        <v>81</v>
      </c>
      <c r="R66" t="s">
        <v>397</v>
      </c>
    </row>
    <row r="67" spans="1:18">
      <c r="A67" s="7" t="str">
        <f t="shared" si="4"/>
        <v>2022_04_23</v>
      </c>
      <c r="B67">
        <v>4</v>
      </c>
      <c r="C67">
        <v>23</v>
      </c>
      <c r="D67" t="s">
        <v>21</v>
      </c>
      <c r="E67">
        <v>2022</v>
      </c>
      <c r="F67" s="14" t="s">
        <v>1007</v>
      </c>
      <c r="G67" t="s">
        <v>398</v>
      </c>
      <c r="H67" t="s">
        <v>398</v>
      </c>
      <c r="I67" s="7" t="str">
        <f t="shared" si="5"/>
        <v>42.5532611</v>
      </c>
      <c r="J67" s="7">
        <f t="shared" si="6"/>
        <v>-2.5899448</v>
      </c>
      <c r="K67" t="s">
        <v>399</v>
      </c>
      <c r="L67" t="s">
        <v>99</v>
      </c>
      <c r="M67" t="s">
        <v>1004</v>
      </c>
      <c r="N67" s="3"/>
      <c r="O67" t="s">
        <v>88</v>
      </c>
      <c r="P67" t="s">
        <v>80</v>
      </c>
      <c r="Q67" t="s">
        <v>81</v>
      </c>
      <c r="R67" t="s">
        <v>1035</v>
      </c>
    </row>
    <row r="68" spans="1:18">
      <c r="A68" s="7" t="str">
        <f t="shared" si="4"/>
        <v>2022_03_20</v>
      </c>
      <c r="B68">
        <v>3</v>
      </c>
      <c r="C68">
        <v>20</v>
      </c>
      <c r="D68" t="s">
        <v>15</v>
      </c>
      <c r="E68">
        <v>2022</v>
      </c>
      <c r="F68" s="14" t="s">
        <v>1007</v>
      </c>
      <c r="G68" t="s">
        <v>223</v>
      </c>
      <c r="H68" t="s">
        <v>400</v>
      </c>
      <c r="I68" s="7" t="str">
        <f t="shared" si="5"/>
        <v>42.2623316</v>
      </c>
      <c r="J68" s="7">
        <f t="shared" si="6"/>
        <v>-0.4062867</v>
      </c>
      <c r="K68" t="s">
        <v>401</v>
      </c>
      <c r="L68" t="s">
        <v>99</v>
      </c>
      <c r="M68" t="s">
        <v>1004</v>
      </c>
      <c r="N68" s="3" t="s">
        <v>224</v>
      </c>
      <c r="O68" t="s">
        <v>88</v>
      </c>
      <c r="P68" t="s">
        <v>80</v>
      </c>
      <c r="Q68" t="s">
        <v>81</v>
      </c>
      <c r="R68" t="s">
        <v>82</v>
      </c>
    </row>
    <row r="69" spans="1:18">
      <c r="A69" s="7" t="str">
        <f t="shared" si="4"/>
        <v>2022_02_27</v>
      </c>
      <c r="B69">
        <v>2</v>
      </c>
      <c r="C69">
        <v>27</v>
      </c>
      <c r="D69" t="s">
        <v>10</v>
      </c>
      <c r="E69">
        <v>2022</v>
      </c>
      <c r="F69" s="14" t="s">
        <v>1007</v>
      </c>
      <c r="G69" t="s">
        <v>221</v>
      </c>
      <c r="H69" t="s">
        <v>402</v>
      </c>
      <c r="I69" s="7" t="str">
        <f t="shared" si="5"/>
        <v>42.3253716</v>
      </c>
      <c r="J69" s="7">
        <f t="shared" si="6"/>
        <v>-0.21917</v>
      </c>
      <c r="K69" t="s">
        <v>403</v>
      </c>
      <c r="L69" t="s">
        <v>99</v>
      </c>
      <c r="M69" t="s">
        <v>1004</v>
      </c>
      <c r="N69" s="3" t="s">
        <v>222</v>
      </c>
      <c r="O69" t="s">
        <v>88</v>
      </c>
      <c r="P69" t="s">
        <v>80</v>
      </c>
      <c r="Q69" t="s">
        <v>81</v>
      </c>
      <c r="R69" t="s">
        <v>82</v>
      </c>
    </row>
    <row r="70" spans="1:18">
      <c r="A70" s="7" t="str">
        <f t="shared" si="4"/>
        <v>2022_01_23</v>
      </c>
      <c r="B70">
        <v>1</v>
      </c>
      <c r="C70">
        <v>23</v>
      </c>
      <c r="D70" t="s">
        <v>6</v>
      </c>
      <c r="E70">
        <v>2022</v>
      </c>
      <c r="F70" s="14" t="s">
        <v>1007</v>
      </c>
      <c r="G70" t="s">
        <v>219</v>
      </c>
      <c r="H70" t="s">
        <v>404</v>
      </c>
      <c r="I70" s="7" t="str">
        <f t="shared" si="5"/>
        <v>41.3662966</v>
      </c>
      <c r="J70" s="7">
        <f t="shared" si="6"/>
        <v>-1.3041332999999999</v>
      </c>
      <c r="K70" t="s">
        <v>405</v>
      </c>
      <c r="L70" t="s">
        <v>99</v>
      </c>
      <c r="M70" t="s">
        <v>1004</v>
      </c>
      <c r="N70" s="3" t="s">
        <v>220</v>
      </c>
      <c r="O70" t="s">
        <v>88</v>
      </c>
      <c r="P70" t="s">
        <v>80</v>
      </c>
      <c r="Q70" t="s">
        <v>81</v>
      </c>
      <c r="R70" t="s">
        <v>85</v>
      </c>
    </row>
    <row r="71" spans="1:18">
      <c r="A71" s="7" t="str">
        <f t="shared" si="4"/>
        <v>2021_12_12</v>
      </c>
      <c r="B71">
        <v>12</v>
      </c>
      <c r="C71">
        <v>12</v>
      </c>
      <c r="D71" t="s">
        <v>121</v>
      </c>
      <c r="E71">
        <v>2021</v>
      </c>
      <c r="F71" s="14" t="s">
        <v>1007</v>
      </c>
      <c r="G71" t="s">
        <v>217</v>
      </c>
      <c r="H71" t="s">
        <v>327</v>
      </c>
      <c r="I71" s="7" t="str">
        <f t="shared" si="5"/>
        <v>41.2093632</v>
      </c>
      <c r="J71" s="7">
        <f t="shared" si="6"/>
        <v>-1.0853410999999999</v>
      </c>
      <c r="K71" t="s">
        <v>406</v>
      </c>
      <c r="L71" t="s">
        <v>99</v>
      </c>
      <c r="M71" t="s">
        <v>1004</v>
      </c>
      <c r="N71" s="3" t="s">
        <v>218</v>
      </c>
      <c r="O71" t="s">
        <v>88</v>
      </c>
      <c r="P71" t="s">
        <v>80</v>
      </c>
      <c r="Q71" t="s">
        <v>81</v>
      </c>
      <c r="R71" t="s">
        <v>85</v>
      </c>
    </row>
    <row r="72" spans="1:18">
      <c r="A72" s="7" t="str">
        <f t="shared" si="4"/>
        <v>2021_11_14</v>
      </c>
      <c r="B72">
        <v>11</v>
      </c>
      <c r="C72">
        <v>14</v>
      </c>
      <c r="D72" t="s">
        <v>56</v>
      </c>
      <c r="E72">
        <v>2021</v>
      </c>
      <c r="F72" s="14" t="s">
        <v>1007</v>
      </c>
      <c r="G72" t="s">
        <v>215</v>
      </c>
      <c r="H72" t="s">
        <v>408</v>
      </c>
      <c r="I72" s="7" t="str">
        <f t="shared" si="5"/>
        <v>42.2560521</v>
      </c>
      <c r="J72" s="7">
        <f t="shared" si="6"/>
        <v>-7.2136000000000006E-2</v>
      </c>
      <c r="K72" t="s">
        <v>407</v>
      </c>
      <c r="L72" t="s">
        <v>99</v>
      </c>
      <c r="M72" t="s">
        <v>1004</v>
      </c>
      <c r="N72" s="3" t="s">
        <v>216</v>
      </c>
      <c r="O72" t="s">
        <v>88</v>
      </c>
      <c r="P72" t="s">
        <v>80</v>
      </c>
      <c r="Q72" t="s">
        <v>314</v>
      </c>
      <c r="R72" t="s">
        <v>82</v>
      </c>
    </row>
    <row r="73" spans="1:18">
      <c r="A73" s="7" t="str">
        <f t="shared" si="4"/>
        <v>2021_10_17</v>
      </c>
      <c r="B73">
        <v>10</v>
      </c>
      <c r="C73">
        <v>17</v>
      </c>
      <c r="D73" t="s">
        <v>46</v>
      </c>
      <c r="E73">
        <v>2021</v>
      </c>
      <c r="F73" s="14" t="s">
        <v>1007</v>
      </c>
      <c r="G73" t="s">
        <v>213</v>
      </c>
      <c r="H73" t="s">
        <v>304</v>
      </c>
      <c r="I73" s="7" t="str">
        <f t="shared" si="5"/>
        <v>42.7024541</v>
      </c>
      <c r="J73" s="7">
        <f t="shared" si="6"/>
        <v>-0.76221879999999997</v>
      </c>
      <c r="K73" t="s">
        <v>409</v>
      </c>
      <c r="L73" t="s">
        <v>99</v>
      </c>
      <c r="M73" t="s">
        <v>1004</v>
      </c>
      <c r="N73" s="3" t="s">
        <v>214</v>
      </c>
      <c r="O73" t="s">
        <v>88</v>
      </c>
      <c r="P73" t="s">
        <v>80</v>
      </c>
      <c r="Q73" t="s">
        <v>100</v>
      </c>
      <c r="R73" t="s">
        <v>82</v>
      </c>
    </row>
    <row r="74" spans="1:18">
      <c r="A74" s="7" t="str">
        <f t="shared" si="4"/>
        <v>2021_10_02</v>
      </c>
      <c r="B74">
        <v>10</v>
      </c>
      <c r="C74">
        <v>2</v>
      </c>
      <c r="D74" t="s">
        <v>46</v>
      </c>
      <c r="E74">
        <v>2021</v>
      </c>
      <c r="F74" s="14" t="s">
        <v>1007</v>
      </c>
      <c r="G74" t="s">
        <v>209</v>
      </c>
      <c r="H74" t="s">
        <v>85</v>
      </c>
      <c r="I74" s="7" t="str">
        <f t="shared" si="5"/>
        <v>41.651748</v>
      </c>
      <c r="J74" s="7">
        <f t="shared" si="6"/>
        <v>-0.93618040000000002</v>
      </c>
      <c r="K74" t="s">
        <v>410</v>
      </c>
      <c r="L74" t="s">
        <v>99</v>
      </c>
      <c r="M74" t="s">
        <v>1004</v>
      </c>
      <c r="N74" s="3" t="s">
        <v>210</v>
      </c>
      <c r="O74" t="s">
        <v>88</v>
      </c>
      <c r="P74" t="s">
        <v>80</v>
      </c>
      <c r="Q74" t="s">
        <v>81</v>
      </c>
      <c r="R74" t="s">
        <v>85</v>
      </c>
    </row>
    <row r="75" spans="1:18">
      <c r="A75" s="7" t="str">
        <f t="shared" si="4"/>
        <v>2021_09_26</v>
      </c>
      <c r="B75">
        <v>9</v>
      </c>
      <c r="C75">
        <v>26</v>
      </c>
      <c r="D75" t="s">
        <v>129</v>
      </c>
      <c r="E75">
        <v>2021</v>
      </c>
      <c r="F75" s="14" t="s">
        <v>1007</v>
      </c>
      <c r="G75" t="s">
        <v>412</v>
      </c>
      <c r="H75" t="s">
        <v>412</v>
      </c>
      <c r="I75" s="7" t="str">
        <f t="shared" si="5"/>
        <v>42.4979591</v>
      </c>
      <c r="J75" s="7">
        <f t="shared" si="6"/>
        <v>0.65971340000000001</v>
      </c>
      <c r="K75" t="s">
        <v>417</v>
      </c>
      <c r="L75" t="s">
        <v>99</v>
      </c>
      <c r="M75" t="s">
        <v>1004</v>
      </c>
      <c r="N75" s="3"/>
      <c r="O75" t="s">
        <v>88</v>
      </c>
      <c r="P75" t="s">
        <v>80</v>
      </c>
      <c r="Q75" t="s">
        <v>81</v>
      </c>
      <c r="R75" t="s">
        <v>82</v>
      </c>
    </row>
    <row r="76" spans="1:18">
      <c r="A76" s="7" t="str">
        <f t="shared" si="4"/>
        <v>2021_09_19</v>
      </c>
      <c r="B76">
        <v>9</v>
      </c>
      <c r="C76">
        <v>19</v>
      </c>
      <c r="D76" t="s">
        <v>129</v>
      </c>
      <c r="E76">
        <v>2021</v>
      </c>
      <c r="F76" s="14" t="s">
        <v>1007</v>
      </c>
      <c r="G76" t="s">
        <v>105</v>
      </c>
      <c r="H76" t="s">
        <v>414</v>
      </c>
      <c r="I76" s="7" t="str">
        <f t="shared" si="5"/>
        <v>42.5726321</v>
      </c>
      <c r="J76" s="7">
        <f t="shared" si="6"/>
        <v>-0.55839329999999998</v>
      </c>
      <c r="K76" t="s">
        <v>416</v>
      </c>
      <c r="L76" t="s">
        <v>99</v>
      </c>
      <c r="M76" t="s">
        <v>1004</v>
      </c>
      <c r="N76" s="3"/>
      <c r="O76" t="s">
        <v>91</v>
      </c>
      <c r="P76" t="s">
        <v>80</v>
      </c>
      <c r="Q76" t="s">
        <v>314</v>
      </c>
      <c r="R76" t="s">
        <v>82</v>
      </c>
    </row>
    <row r="77" spans="1:18" ht="28.8">
      <c r="A77" s="7" t="str">
        <f t="shared" si="4"/>
        <v>2021_09_18</v>
      </c>
      <c r="B77">
        <v>9</v>
      </c>
      <c r="C77">
        <v>18</v>
      </c>
      <c r="D77" t="s">
        <v>129</v>
      </c>
      <c r="E77">
        <v>2021</v>
      </c>
      <c r="F77" s="14" t="s">
        <v>1007</v>
      </c>
      <c r="G77" s="5" t="s">
        <v>411</v>
      </c>
      <c r="H77" t="s">
        <v>413</v>
      </c>
      <c r="I77" s="7" t="str">
        <f t="shared" si="5"/>
        <v>42.9166081</v>
      </c>
      <c r="J77" s="7">
        <f t="shared" si="6"/>
        <v>-0.71424770000000004</v>
      </c>
      <c r="K77" t="s">
        <v>415</v>
      </c>
      <c r="L77" t="s">
        <v>99</v>
      </c>
      <c r="M77" t="s">
        <v>1004</v>
      </c>
      <c r="N77" s="3" t="s">
        <v>212</v>
      </c>
      <c r="O77" t="s">
        <v>91</v>
      </c>
      <c r="P77" t="s">
        <v>80</v>
      </c>
      <c r="Q77" t="s">
        <v>81</v>
      </c>
      <c r="R77" t="s">
        <v>315</v>
      </c>
    </row>
    <row r="78" spans="1:18">
      <c r="A78" s="13" t="s">
        <v>418</v>
      </c>
      <c r="B78" s="14">
        <v>6</v>
      </c>
      <c r="C78" s="14">
        <v>1</v>
      </c>
      <c r="D78" s="15" t="s">
        <v>32</v>
      </c>
      <c r="E78" s="14">
        <v>2021</v>
      </c>
      <c r="F78" s="14" t="s">
        <v>1007</v>
      </c>
      <c r="G78" s="15" t="s">
        <v>211</v>
      </c>
      <c r="H78" t="s">
        <v>419</v>
      </c>
      <c r="I78" s="7" t="str">
        <f t="shared" si="5"/>
        <v>42.5337973</v>
      </c>
      <c r="J78" s="7">
        <f t="shared" si="6"/>
        <v>-0.17384520000000001</v>
      </c>
      <c r="K78" t="s">
        <v>716</v>
      </c>
      <c r="L78" t="s">
        <v>99</v>
      </c>
      <c r="M78" s="17" t="s">
        <v>860</v>
      </c>
      <c r="N78" s="3"/>
      <c r="O78" t="s">
        <v>88</v>
      </c>
      <c r="P78" t="s">
        <v>80</v>
      </c>
      <c r="Q78" t="s">
        <v>1034</v>
      </c>
      <c r="R78" s="19" t="s">
        <v>82</v>
      </c>
    </row>
    <row r="79" spans="1:18">
      <c r="A79" s="13" t="s">
        <v>420</v>
      </c>
      <c r="B79" s="14">
        <v>5</v>
      </c>
      <c r="C79" s="14">
        <v>1</v>
      </c>
      <c r="D79" s="15" t="s">
        <v>27</v>
      </c>
      <c r="E79" s="14">
        <v>2021</v>
      </c>
      <c r="F79" s="14" t="s">
        <v>1007</v>
      </c>
      <c r="G79" s="15" t="s">
        <v>209</v>
      </c>
      <c r="H79" t="s">
        <v>85</v>
      </c>
      <c r="I79" s="7" t="str">
        <f t="shared" si="5"/>
        <v>41.651748</v>
      </c>
      <c r="J79" s="7">
        <f t="shared" si="6"/>
        <v>-0.93618029999999997</v>
      </c>
      <c r="K79" t="s">
        <v>717</v>
      </c>
      <c r="L79" t="s">
        <v>99</v>
      </c>
      <c r="M79" t="s">
        <v>1004</v>
      </c>
      <c r="N79" s="3"/>
      <c r="O79" t="s">
        <v>88</v>
      </c>
      <c r="P79" t="s">
        <v>80</v>
      </c>
      <c r="Q79" t="s">
        <v>1034</v>
      </c>
      <c r="R79" s="19" t="s">
        <v>85</v>
      </c>
    </row>
    <row r="80" spans="1:18">
      <c r="A80" s="13" t="s">
        <v>421</v>
      </c>
      <c r="B80" s="14">
        <v>12</v>
      </c>
      <c r="C80" s="14">
        <v>1</v>
      </c>
      <c r="D80" s="15" t="s">
        <v>121</v>
      </c>
      <c r="E80" s="14">
        <v>2020</v>
      </c>
      <c r="F80" s="14" t="s">
        <v>1007</v>
      </c>
      <c r="G80" s="15" t="s">
        <v>208</v>
      </c>
      <c r="H80" t="s">
        <v>422</v>
      </c>
      <c r="I80" s="7" t="str">
        <f t="shared" si="5"/>
        <v>41.1581296</v>
      </c>
      <c r="J80" s="7">
        <f t="shared" si="6"/>
        <v>-1.9144475000000001</v>
      </c>
      <c r="K80" t="s">
        <v>718</v>
      </c>
      <c r="L80" t="s">
        <v>99</v>
      </c>
      <c r="M80" t="s">
        <v>861</v>
      </c>
      <c r="N80" s="3"/>
      <c r="O80" t="s">
        <v>88</v>
      </c>
      <c r="P80" t="s">
        <v>80</v>
      </c>
      <c r="Q80" t="s">
        <v>1034</v>
      </c>
      <c r="R80" s="19" t="s">
        <v>85</v>
      </c>
    </row>
    <row r="81" spans="1:18">
      <c r="A81" s="13" t="s">
        <v>423</v>
      </c>
      <c r="B81" s="14">
        <v>6</v>
      </c>
      <c r="C81" s="14">
        <v>1</v>
      </c>
      <c r="D81" s="15" t="s">
        <v>32</v>
      </c>
      <c r="E81" s="14">
        <v>2020</v>
      </c>
      <c r="F81" s="14" t="s">
        <v>1007</v>
      </c>
      <c r="G81" s="15" t="s">
        <v>119</v>
      </c>
      <c r="H81" t="s">
        <v>424</v>
      </c>
      <c r="I81" s="7" t="str">
        <f t="shared" si="5"/>
        <v>41.7904033</v>
      </c>
      <c r="J81" s="7">
        <f t="shared" si="6"/>
        <v>-1.8201556999999999</v>
      </c>
      <c r="K81" t="s">
        <v>719</v>
      </c>
      <c r="L81" t="s">
        <v>99</v>
      </c>
      <c r="M81" t="s">
        <v>1004</v>
      </c>
      <c r="N81" s="3"/>
      <c r="O81" t="s">
        <v>88</v>
      </c>
      <c r="P81" t="s">
        <v>80</v>
      </c>
      <c r="Q81" t="s">
        <v>1034</v>
      </c>
      <c r="R81" s="19" t="s">
        <v>85</v>
      </c>
    </row>
    <row r="82" spans="1:18">
      <c r="A82" s="13" t="s">
        <v>425</v>
      </c>
      <c r="B82" s="14">
        <v>2</v>
      </c>
      <c r="C82" s="14">
        <v>1</v>
      </c>
      <c r="D82" s="15" t="s">
        <v>10</v>
      </c>
      <c r="E82" s="14">
        <v>2020</v>
      </c>
      <c r="F82" s="14" t="s">
        <v>1007</v>
      </c>
      <c r="G82" s="15" t="s">
        <v>207</v>
      </c>
      <c r="H82" t="s">
        <v>426</v>
      </c>
      <c r="I82" s="7" t="str">
        <f t="shared" si="5"/>
        <v>42.8051547</v>
      </c>
      <c r="J82" s="7">
        <f t="shared" si="6"/>
        <v>-0.42896970000000001</v>
      </c>
      <c r="K82" t="s">
        <v>720</v>
      </c>
      <c r="L82" t="s">
        <v>99</v>
      </c>
      <c r="M82" t="s">
        <v>1004</v>
      </c>
      <c r="N82" s="3"/>
      <c r="O82" t="s">
        <v>88</v>
      </c>
      <c r="P82" t="s">
        <v>993</v>
      </c>
      <c r="Q82" t="s">
        <v>1034</v>
      </c>
      <c r="R82" s="19" t="s">
        <v>82</v>
      </c>
    </row>
    <row r="83" spans="1:18">
      <c r="A83" s="13" t="s">
        <v>427</v>
      </c>
      <c r="B83" s="14">
        <v>1</v>
      </c>
      <c r="C83" s="14">
        <v>1</v>
      </c>
      <c r="D83" s="15" t="s">
        <v>6</v>
      </c>
      <c r="E83" s="14">
        <v>2020</v>
      </c>
      <c r="F83" s="14" t="s">
        <v>1007</v>
      </c>
      <c r="G83" s="15" t="s">
        <v>206</v>
      </c>
      <c r="H83" t="s">
        <v>428</v>
      </c>
      <c r="I83" s="7" t="str">
        <f t="shared" si="5"/>
        <v>42.388426</v>
      </c>
      <c r="J83" s="7">
        <f t="shared" si="6"/>
        <v>0.1245092</v>
      </c>
      <c r="K83" t="s">
        <v>721</v>
      </c>
      <c r="L83" t="s">
        <v>99</v>
      </c>
      <c r="M83" t="s">
        <v>862</v>
      </c>
      <c r="N83" s="3"/>
      <c r="O83" t="s">
        <v>88</v>
      </c>
      <c r="P83" t="s">
        <v>80</v>
      </c>
      <c r="Q83" t="s">
        <v>1034</v>
      </c>
      <c r="R83" s="19" t="s">
        <v>82</v>
      </c>
    </row>
    <row r="84" spans="1:18">
      <c r="A84" s="13" t="s">
        <v>429</v>
      </c>
      <c r="B84" s="14">
        <v>12</v>
      </c>
      <c r="C84" s="14">
        <v>1</v>
      </c>
      <c r="D84" s="15" t="s">
        <v>121</v>
      </c>
      <c r="E84" s="14">
        <v>2019</v>
      </c>
      <c r="F84" s="14" t="s">
        <v>1007</v>
      </c>
      <c r="G84" s="15" t="s">
        <v>108</v>
      </c>
      <c r="H84" t="s">
        <v>430</v>
      </c>
      <c r="I84" s="7" t="str">
        <f t="shared" si="5"/>
        <v>42.3152901</v>
      </c>
      <c r="J84" s="7">
        <f t="shared" si="6"/>
        <v>-0.43927529999999998</v>
      </c>
      <c r="K84" t="s">
        <v>722</v>
      </c>
      <c r="L84" t="s">
        <v>99</v>
      </c>
      <c r="M84" t="s">
        <v>863</v>
      </c>
      <c r="N84" s="3"/>
      <c r="O84" t="s">
        <v>88</v>
      </c>
      <c r="P84" t="s">
        <v>80</v>
      </c>
      <c r="Q84" t="s">
        <v>1034</v>
      </c>
      <c r="R84" s="19" t="s">
        <v>82</v>
      </c>
    </row>
    <row r="85" spans="1:18">
      <c r="A85" s="13" t="s">
        <v>431</v>
      </c>
      <c r="B85" s="14">
        <v>11</v>
      </c>
      <c r="C85" s="14">
        <v>1</v>
      </c>
      <c r="D85" s="15" t="s">
        <v>56</v>
      </c>
      <c r="E85" s="14">
        <v>2019</v>
      </c>
      <c r="F85" s="14" t="s">
        <v>1007</v>
      </c>
      <c r="G85" s="15" t="s">
        <v>432</v>
      </c>
      <c r="H85" t="s">
        <v>433</v>
      </c>
      <c r="I85" s="7" t="str">
        <f t="shared" si="5"/>
        <v>42.6208728</v>
      </c>
      <c r="J85" s="7">
        <f t="shared" si="6"/>
        <v>-0.40943079999999998</v>
      </c>
      <c r="K85" t="s">
        <v>723</v>
      </c>
      <c r="L85" t="s">
        <v>99</v>
      </c>
      <c r="M85" t="s">
        <v>864</v>
      </c>
      <c r="N85" s="3"/>
      <c r="O85" t="s">
        <v>88</v>
      </c>
      <c r="P85" t="s">
        <v>80</v>
      </c>
      <c r="Q85" t="s">
        <v>1034</v>
      </c>
      <c r="R85" s="19" t="s">
        <v>82</v>
      </c>
    </row>
    <row r="86" spans="1:18">
      <c r="A86" s="13" t="s">
        <v>434</v>
      </c>
      <c r="B86" s="14">
        <v>10</v>
      </c>
      <c r="C86" s="14">
        <v>1</v>
      </c>
      <c r="D86" s="15" t="s">
        <v>46</v>
      </c>
      <c r="E86" s="14">
        <v>2019</v>
      </c>
      <c r="F86" s="14" t="s">
        <v>1007</v>
      </c>
      <c r="G86" s="15" t="s">
        <v>205</v>
      </c>
      <c r="H86" t="s">
        <v>109</v>
      </c>
      <c r="I86" s="7" t="str">
        <f t="shared" si="5"/>
        <v>42.6492968</v>
      </c>
      <c r="J86" s="7">
        <f t="shared" si="6"/>
        <v>-6.2200900000000003E-2</v>
      </c>
      <c r="K86" t="s">
        <v>724</v>
      </c>
      <c r="L86" t="s">
        <v>99</v>
      </c>
      <c r="M86" t="s">
        <v>865</v>
      </c>
      <c r="N86" s="3"/>
      <c r="O86" t="s">
        <v>88</v>
      </c>
      <c r="P86" t="s">
        <v>80</v>
      </c>
      <c r="Q86" t="s">
        <v>1034</v>
      </c>
      <c r="R86" s="19" t="s">
        <v>82</v>
      </c>
    </row>
    <row r="87" spans="1:18">
      <c r="A87" s="13" t="s">
        <v>435</v>
      </c>
      <c r="B87" s="15">
        <v>9</v>
      </c>
      <c r="C87" s="15">
        <v>1</v>
      </c>
      <c r="D87" s="15" t="s">
        <v>129</v>
      </c>
      <c r="E87" s="15">
        <v>2019</v>
      </c>
      <c r="F87" s="14" t="s">
        <v>1007</v>
      </c>
      <c r="G87" s="15" t="s">
        <v>436</v>
      </c>
      <c r="H87" t="s">
        <v>437</v>
      </c>
      <c r="I87" s="7" t="str">
        <f t="shared" si="5"/>
        <v>42.5725097</v>
      </c>
      <c r="J87" s="7">
        <f t="shared" si="6"/>
        <v>0.91948110000000005</v>
      </c>
      <c r="K87" t="s">
        <v>725</v>
      </c>
      <c r="L87" t="s">
        <v>99</v>
      </c>
      <c r="M87" t="s">
        <v>866</v>
      </c>
      <c r="N87" s="3"/>
      <c r="O87" t="s">
        <v>88</v>
      </c>
      <c r="P87" t="s">
        <v>80</v>
      </c>
      <c r="Q87" t="s">
        <v>1034</v>
      </c>
      <c r="R87" s="19" t="s">
        <v>292</v>
      </c>
    </row>
    <row r="88" spans="1:18">
      <c r="A88" s="13" t="s">
        <v>435</v>
      </c>
      <c r="B88" s="15">
        <v>9</v>
      </c>
      <c r="C88" s="15">
        <v>1</v>
      </c>
      <c r="D88" s="15" t="s">
        <v>129</v>
      </c>
      <c r="E88" s="15">
        <v>2019</v>
      </c>
      <c r="F88" s="14" t="s">
        <v>1007</v>
      </c>
      <c r="G88" s="15" t="s">
        <v>438</v>
      </c>
      <c r="H88" t="s">
        <v>383</v>
      </c>
      <c r="I88" s="7" t="str">
        <f t="shared" si="5"/>
        <v>42.6958103</v>
      </c>
      <c r="J88" s="7">
        <f t="shared" si="6"/>
        <v>-0.1129619</v>
      </c>
      <c r="K88" t="s">
        <v>726</v>
      </c>
      <c r="L88" t="s">
        <v>99</v>
      </c>
      <c r="M88" t="s">
        <v>867</v>
      </c>
      <c r="N88" s="3"/>
      <c r="O88" t="s">
        <v>88</v>
      </c>
      <c r="P88" t="s">
        <v>80</v>
      </c>
      <c r="Q88" t="s">
        <v>1034</v>
      </c>
      <c r="R88" s="19" t="s">
        <v>82</v>
      </c>
    </row>
    <row r="89" spans="1:18">
      <c r="A89" s="13" t="s">
        <v>439</v>
      </c>
      <c r="B89" s="14">
        <v>8</v>
      </c>
      <c r="C89" s="14">
        <v>1</v>
      </c>
      <c r="D89" s="15" t="s">
        <v>41</v>
      </c>
      <c r="E89" s="14">
        <v>2019</v>
      </c>
      <c r="F89" s="14" t="s">
        <v>1007</v>
      </c>
      <c r="G89" s="15" t="s">
        <v>204</v>
      </c>
      <c r="H89" t="s">
        <v>440</v>
      </c>
      <c r="I89" s="7" t="str">
        <f t="shared" si="5"/>
        <v>43.218955</v>
      </c>
      <c r="J89" s="7">
        <f t="shared" si="6"/>
        <v>-9.0144888000000005</v>
      </c>
      <c r="K89" t="s">
        <v>727</v>
      </c>
      <c r="L89" t="s">
        <v>99</v>
      </c>
      <c r="M89" t="s">
        <v>868</v>
      </c>
      <c r="N89" s="3"/>
      <c r="O89" t="s">
        <v>88</v>
      </c>
      <c r="P89" t="s">
        <v>80</v>
      </c>
      <c r="Q89" t="s">
        <v>1034</v>
      </c>
      <c r="R89" s="19" t="s">
        <v>1027</v>
      </c>
    </row>
    <row r="90" spans="1:18">
      <c r="A90" s="13" t="s">
        <v>441</v>
      </c>
      <c r="B90" s="14">
        <v>7</v>
      </c>
      <c r="C90" s="14">
        <v>1</v>
      </c>
      <c r="D90" s="15" t="s">
        <v>36</v>
      </c>
      <c r="E90" s="14">
        <v>2019</v>
      </c>
      <c r="F90" s="14" t="s">
        <v>1007</v>
      </c>
      <c r="G90" s="15" t="s">
        <v>442</v>
      </c>
      <c r="H90" t="s">
        <v>383</v>
      </c>
      <c r="I90" s="7" t="str">
        <f t="shared" si="5"/>
        <v>42.6958103</v>
      </c>
      <c r="J90" s="7">
        <f t="shared" si="6"/>
        <v>-0.1129619</v>
      </c>
      <c r="K90" t="s">
        <v>726</v>
      </c>
      <c r="L90" t="s">
        <v>99</v>
      </c>
      <c r="M90" t="s">
        <v>869</v>
      </c>
      <c r="N90" s="3"/>
      <c r="O90" t="s">
        <v>88</v>
      </c>
      <c r="P90" t="s">
        <v>302</v>
      </c>
      <c r="Q90" t="s">
        <v>1034</v>
      </c>
      <c r="R90" s="19" t="s">
        <v>82</v>
      </c>
    </row>
    <row r="91" spans="1:18">
      <c r="A91" s="13" t="s">
        <v>441</v>
      </c>
      <c r="B91" s="14">
        <v>7</v>
      </c>
      <c r="C91" s="14">
        <v>1</v>
      </c>
      <c r="D91" s="15" t="s">
        <v>36</v>
      </c>
      <c r="E91" s="14">
        <v>2019</v>
      </c>
      <c r="F91" s="14" t="s">
        <v>1007</v>
      </c>
      <c r="G91" s="15" t="s">
        <v>443</v>
      </c>
      <c r="H91" t="s">
        <v>444</v>
      </c>
      <c r="I91" s="7" t="str">
        <f t="shared" si="5"/>
        <v>42.73548</v>
      </c>
      <c r="J91" s="7">
        <f t="shared" si="6"/>
        <v>-0.1013479</v>
      </c>
      <c r="K91" t="s">
        <v>728</v>
      </c>
      <c r="L91" t="s">
        <v>99</v>
      </c>
      <c r="M91" t="s">
        <v>870</v>
      </c>
      <c r="N91" s="3"/>
      <c r="O91" t="s">
        <v>88</v>
      </c>
      <c r="P91" t="s">
        <v>302</v>
      </c>
      <c r="Q91" t="s">
        <v>1034</v>
      </c>
      <c r="R91" s="19" t="s">
        <v>315</v>
      </c>
    </row>
    <row r="92" spans="1:18">
      <c r="A92" s="13" t="s">
        <v>445</v>
      </c>
      <c r="B92" s="14">
        <v>6</v>
      </c>
      <c r="C92" s="14">
        <v>1</v>
      </c>
      <c r="D92" s="15" t="s">
        <v>32</v>
      </c>
      <c r="E92" s="14">
        <v>2019</v>
      </c>
      <c r="F92" s="14" t="s">
        <v>1007</v>
      </c>
      <c r="G92" s="15" t="s">
        <v>203</v>
      </c>
      <c r="H92" t="s">
        <v>446</v>
      </c>
      <c r="I92" s="7" t="str">
        <f t="shared" si="5"/>
        <v>42.7040366</v>
      </c>
      <c r="J92" s="7">
        <f t="shared" si="6"/>
        <v>0.19423489999999999</v>
      </c>
      <c r="K92" t="s">
        <v>729</v>
      </c>
      <c r="L92" t="s">
        <v>99</v>
      </c>
      <c r="M92" t="s">
        <v>871</v>
      </c>
      <c r="N92" s="3"/>
      <c r="O92" t="s">
        <v>91</v>
      </c>
      <c r="P92" t="s">
        <v>80</v>
      </c>
      <c r="Q92" t="s">
        <v>1034</v>
      </c>
      <c r="R92" s="19" t="s">
        <v>82</v>
      </c>
    </row>
    <row r="93" spans="1:18">
      <c r="A93" s="13" t="s">
        <v>447</v>
      </c>
      <c r="B93" s="15">
        <v>5</v>
      </c>
      <c r="C93" s="15">
        <v>1</v>
      </c>
      <c r="D93" s="15" t="s">
        <v>27</v>
      </c>
      <c r="E93" s="15">
        <v>2019</v>
      </c>
      <c r="F93" s="14" t="s">
        <v>1007</v>
      </c>
      <c r="G93" s="15" t="s">
        <v>385</v>
      </c>
      <c r="H93" t="s">
        <v>448</v>
      </c>
      <c r="I93" s="7" t="str">
        <f t="shared" si="5"/>
        <v>42.3995875</v>
      </c>
      <c r="J93" s="7">
        <f t="shared" si="6"/>
        <v>0.51996679999999995</v>
      </c>
      <c r="K93" t="s">
        <v>730</v>
      </c>
      <c r="L93" t="s">
        <v>99</v>
      </c>
      <c r="M93" t="s">
        <v>872</v>
      </c>
      <c r="N93" s="3"/>
      <c r="O93" t="s">
        <v>88</v>
      </c>
      <c r="P93" t="s">
        <v>80</v>
      </c>
      <c r="Q93" t="s">
        <v>1034</v>
      </c>
      <c r="R93" s="19" t="s">
        <v>82</v>
      </c>
    </row>
    <row r="94" spans="1:18">
      <c r="A94" s="13" t="s">
        <v>447</v>
      </c>
      <c r="B94" s="15">
        <v>5</v>
      </c>
      <c r="C94" s="15">
        <v>1</v>
      </c>
      <c r="D94" s="15" t="s">
        <v>27</v>
      </c>
      <c r="E94" s="15">
        <v>2019</v>
      </c>
      <c r="F94" s="14" t="s">
        <v>1007</v>
      </c>
      <c r="G94" s="15" t="s">
        <v>449</v>
      </c>
      <c r="H94" t="s">
        <v>450</v>
      </c>
      <c r="I94" s="7" t="str">
        <f t="shared" si="5"/>
        <v>42.3670477</v>
      </c>
      <c r="J94" s="7">
        <f t="shared" si="6"/>
        <v>0.59178759999999997</v>
      </c>
      <c r="K94" t="s">
        <v>731</v>
      </c>
      <c r="L94" t="s">
        <v>99</v>
      </c>
      <c r="M94" t="s">
        <v>873</v>
      </c>
      <c r="N94" s="3"/>
      <c r="O94" t="s">
        <v>88</v>
      </c>
      <c r="P94" t="s">
        <v>80</v>
      </c>
      <c r="Q94" t="s">
        <v>1034</v>
      </c>
      <c r="R94" s="19" t="s">
        <v>82</v>
      </c>
    </row>
    <row r="95" spans="1:18">
      <c r="A95" s="13" t="s">
        <v>451</v>
      </c>
      <c r="B95" s="14">
        <v>4</v>
      </c>
      <c r="C95" s="14">
        <v>1</v>
      </c>
      <c r="D95" s="15" t="s">
        <v>21</v>
      </c>
      <c r="E95" s="14">
        <v>2019</v>
      </c>
      <c r="F95" s="14" t="s">
        <v>1007</v>
      </c>
      <c r="G95" s="15" t="s">
        <v>202</v>
      </c>
      <c r="H95" t="s">
        <v>452</v>
      </c>
      <c r="I95" s="7" t="str">
        <f t="shared" si="5"/>
        <v>41.3532707</v>
      </c>
      <c r="J95" s="7">
        <f t="shared" si="6"/>
        <v>-1.6534180999999999</v>
      </c>
      <c r="K95" t="s">
        <v>732</v>
      </c>
      <c r="L95" t="s">
        <v>99</v>
      </c>
      <c r="M95" t="s">
        <v>874</v>
      </c>
      <c r="N95" s="3"/>
      <c r="O95" t="s">
        <v>88</v>
      </c>
      <c r="P95" t="s">
        <v>80</v>
      </c>
      <c r="Q95" t="s">
        <v>1034</v>
      </c>
      <c r="R95" s="19" t="s">
        <v>85</v>
      </c>
    </row>
    <row r="96" spans="1:18">
      <c r="A96" s="13" t="s">
        <v>453</v>
      </c>
      <c r="B96" s="14">
        <v>3</v>
      </c>
      <c r="C96" s="14">
        <v>1</v>
      </c>
      <c r="D96" s="15" t="s">
        <v>15</v>
      </c>
      <c r="E96" s="14">
        <v>2019</v>
      </c>
      <c r="F96" s="14" t="s">
        <v>1007</v>
      </c>
      <c r="G96" s="15" t="s">
        <v>201</v>
      </c>
      <c r="H96" t="s">
        <v>201</v>
      </c>
      <c r="I96" s="7" t="str">
        <f t="shared" si="5"/>
        <v>40.6478491</v>
      </c>
      <c r="J96" s="7">
        <f t="shared" si="6"/>
        <v>-0.53164290000000003</v>
      </c>
      <c r="K96" t="s">
        <v>733</v>
      </c>
      <c r="L96" t="s">
        <v>99</v>
      </c>
      <c r="M96" t="s">
        <v>875</v>
      </c>
      <c r="N96" s="3"/>
      <c r="O96" t="s">
        <v>88</v>
      </c>
      <c r="P96" t="s">
        <v>80</v>
      </c>
      <c r="Q96" t="s">
        <v>1034</v>
      </c>
      <c r="R96" s="19" t="s">
        <v>285</v>
      </c>
    </row>
    <row r="97" spans="1:18">
      <c r="A97" s="13" t="s">
        <v>454</v>
      </c>
      <c r="B97" s="14">
        <v>2</v>
      </c>
      <c r="C97" s="14">
        <v>1</v>
      </c>
      <c r="D97" s="15" t="s">
        <v>10</v>
      </c>
      <c r="E97" s="14">
        <v>2019</v>
      </c>
      <c r="F97" s="14" t="s">
        <v>1007</v>
      </c>
      <c r="G97" s="15" t="s">
        <v>199</v>
      </c>
      <c r="H97" t="s">
        <v>455</v>
      </c>
      <c r="I97" s="7" t="str">
        <f t="shared" si="5"/>
        <v>41.5933418</v>
      </c>
      <c r="J97" s="7">
        <f t="shared" si="6"/>
        <v>1.8350496999999999</v>
      </c>
      <c r="K97" t="s">
        <v>734</v>
      </c>
      <c r="L97" t="s">
        <v>99</v>
      </c>
      <c r="M97" t="s">
        <v>1004</v>
      </c>
      <c r="N97" s="3"/>
      <c r="O97" t="s">
        <v>89</v>
      </c>
      <c r="P97" t="s">
        <v>80</v>
      </c>
      <c r="Q97" t="s">
        <v>1034</v>
      </c>
      <c r="R97" s="19" t="s">
        <v>1028</v>
      </c>
    </row>
    <row r="98" spans="1:18">
      <c r="A98" s="13" t="s">
        <v>454</v>
      </c>
      <c r="B98" s="14">
        <v>2</v>
      </c>
      <c r="C98" s="14">
        <v>1</v>
      </c>
      <c r="D98" s="15" t="s">
        <v>10</v>
      </c>
      <c r="E98" s="14">
        <v>2019</v>
      </c>
      <c r="F98" s="14" t="s">
        <v>1007</v>
      </c>
      <c r="G98" s="15" t="s">
        <v>200</v>
      </c>
      <c r="H98" t="s">
        <v>456</v>
      </c>
      <c r="I98" s="7" t="str">
        <f t="shared" si="5"/>
        <v>42.7641664</v>
      </c>
      <c r="J98" s="7">
        <f t="shared" si="6"/>
        <v>-0.63656729999999995</v>
      </c>
      <c r="K98" t="s">
        <v>735</v>
      </c>
      <c r="L98" t="s">
        <v>99</v>
      </c>
      <c r="M98" t="s">
        <v>1004</v>
      </c>
      <c r="N98" s="3"/>
      <c r="O98" t="s">
        <v>89</v>
      </c>
      <c r="P98" t="s">
        <v>993</v>
      </c>
      <c r="Q98" t="s">
        <v>1034</v>
      </c>
      <c r="R98" s="19" t="s">
        <v>82</v>
      </c>
    </row>
    <row r="99" spans="1:18">
      <c r="A99" s="13" t="s">
        <v>457</v>
      </c>
      <c r="B99" s="14">
        <v>1</v>
      </c>
      <c r="C99" s="14">
        <v>1</v>
      </c>
      <c r="D99" s="15" t="s">
        <v>6</v>
      </c>
      <c r="E99" s="14">
        <v>2019</v>
      </c>
      <c r="F99" s="14" t="s">
        <v>1007</v>
      </c>
      <c r="G99" s="15" t="s">
        <v>116</v>
      </c>
      <c r="H99" t="s">
        <v>458</v>
      </c>
      <c r="I99" s="7" t="str">
        <f t="shared" si="5"/>
        <v>42.3146308</v>
      </c>
      <c r="J99" s="7">
        <f t="shared" si="6"/>
        <v>-0.62996949999999996</v>
      </c>
      <c r="K99" t="s">
        <v>736</v>
      </c>
      <c r="L99" t="s">
        <v>99</v>
      </c>
      <c r="M99" t="s">
        <v>876</v>
      </c>
      <c r="N99" s="3"/>
      <c r="O99" t="s">
        <v>88</v>
      </c>
      <c r="P99" t="s">
        <v>80</v>
      </c>
      <c r="Q99" t="s">
        <v>1034</v>
      </c>
      <c r="R99" s="19" t="s">
        <v>82</v>
      </c>
    </row>
    <row r="100" spans="1:18">
      <c r="A100" s="13" t="s">
        <v>459</v>
      </c>
      <c r="B100" s="14">
        <v>12</v>
      </c>
      <c r="C100" s="14">
        <v>1</v>
      </c>
      <c r="D100" s="15" t="s">
        <v>121</v>
      </c>
      <c r="E100" s="14">
        <v>2018</v>
      </c>
      <c r="F100" s="14" t="s">
        <v>1007</v>
      </c>
      <c r="G100" s="15" t="s">
        <v>198</v>
      </c>
      <c r="H100" t="s">
        <v>460</v>
      </c>
      <c r="I100" s="7" t="str">
        <f t="shared" si="5"/>
        <v>41.0368836</v>
      </c>
      <c r="J100" s="7">
        <f t="shared" si="6"/>
        <v>-1.6627352</v>
      </c>
      <c r="K100" t="s">
        <v>737</v>
      </c>
      <c r="L100" t="s">
        <v>99</v>
      </c>
      <c r="M100" t="s">
        <v>1004</v>
      </c>
      <c r="N100" s="3"/>
      <c r="O100" t="s">
        <v>88</v>
      </c>
      <c r="P100" t="s">
        <v>80</v>
      </c>
      <c r="Q100" t="s">
        <v>1034</v>
      </c>
      <c r="R100" s="19" t="s">
        <v>85</v>
      </c>
    </row>
    <row r="101" spans="1:18">
      <c r="A101" s="13" t="s">
        <v>461</v>
      </c>
      <c r="B101" s="14">
        <v>11</v>
      </c>
      <c r="C101" s="14">
        <v>1</v>
      </c>
      <c r="D101" s="15" t="s">
        <v>56</v>
      </c>
      <c r="E101" s="14">
        <v>2018</v>
      </c>
      <c r="F101" s="14" t="s">
        <v>1007</v>
      </c>
      <c r="G101" s="15" t="s">
        <v>197</v>
      </c>
      <c r="H101" t="s">
        <v>462</v>
      </c>
      <c r="I101" s="7" t="str">
        <f t="shared" si="5"/>
        <v>41.0733482</v>
      </c>
      <c r="J101" s="7">
        <f t="shared" si="6"/>
        <v>-3.3161326999999998</v>
      </c>
      <c r="K101" t="s">
        <v>738</v>
      </c>
      <c r="L101" t="s">
        <v>99</v>
      </c>
      <c r="M101" t="s">
        <v>877</v>
      </c>
      <c r="N101" s="3"/>
      <c r="O101" t="s">
        <v>88</v>
      </c>
      <c r="P101" t="s">
        <v>80</v>
      </c>
      <c r="Q101" t="s">
        <v>1034</v>
      </c>
      <c r="R101" s="19" t="s">
        <v>1029</v>
      </c>
    </row>
    <row r="102" spans="1:18">
      <c r="A102" s="13" t="s">
        <v>461</v>
      </c>
      <c r="B102" s="14">
        <v>11</v>
      </c>
      <c r="C102" s="14">
        <v>1</v>
      </c>
      <c r="D102" s="15" t="s">
        <v>56</v>
      </c>
      <c r="E102" s="14">
        <v>2018</v>
      </c>
      <c r="F102" s="14" t="s">
        <v>1007</v>
      </c>
      <c r="G102" s="15" t="s">
        <v>197</v>
      </c>
      <c r="H102" t="s">
        <v>463</v>
      </c>
      <c r="I102" s="7" t="str">
        <f t="shared" si="5"/>
        <v>41.1122733</v>
      </c>
      <c r="J102" s="7">
        <f t="shared" si="6"/>
        <v>-3.3028339</v>
      </c>
      <c r="K102" t="s">
        <v>739</v>
      </c>
      <c r="L102" t="s">
        <v>99</v>
      </c>
      <c r="M102" t="s">
        <v>878</v>
      </c>
      <c r="N102" s="3"/>
      <c r="O102" t="s">
        <v>88</v>
      </c>
      <c r="P102" t="s">
        <v>80</v>
      </c>
      <c r="Q102" t="s">
        <v>1034</v>
      </c>
      <c r="R102" s="19" t="s">
        <v>1030</v>
      </c>
    </row>
    <row r="103" spans="1:18">
      <c r="A103" s="13" t="s">
        <v>464</v>
      </c>
      <c r="B103" s="14">
        <v>10</v>
      </c>
      <c r="C103" s="14">
        <v>1</v>
      </c>
      <c r="D103" s="15" t="s">
        <v>46</v>
      </c>
      <c r="E103" s="14">
        <v>2018</v>
      </c>
      <c r="F103" s="14" t="s">
        <v>1007</v>
      </c>
      <c r="G103" s="15" t="s">
        <v>196</v>
      </c>
      <c r="H103" t="s">
        <v>465</v>
      </c>
      <c r="I103" s="7" t="str">
        <f t="shared" si="5"/>
        <v>42.3484685</v>
      </c>
      <c r="J103" s="7">
        <f t="shared" si="6"/>
        <v>-0.7282594</v>
      </c>
      <c r="K103" t="s">
        <v>740</v>
      </c>
      <c r="L103" t="s">
        <v>99</v>
      </c>
      <c r="M103" t="s">
        <v>879</v>
      </c>
      <c r="N103" s="3"/>
      <c r="O103" t="s">
        <v>88</v>
      </c>
      <c r="P103" t="s">
        <v>80</v>
      </c>
      <c r="Q103" t="s">
        <v>1034</v>
      </c>
      <c r="R103" s="19" t="s">
        <v>82</v>
      </c>
    </row>
    <row r="104" spans="1:18">
      <c r="A104" s="13" t="s">
        <v>466</v>
      </c>
      <c r="B104" s="14">
        <v>9</v>
      </c>
      <c r="C104" s="14">
        <v>1</v>
      </c>
      <c r="D104" s="15" t="s">
        <v>129</v>
      </c>
      <c r="E104" s="14">
        <v>2018</v>
      </c>
      <c r="F104" s="14" t="s">
        <v>1007</v>
      </c>
      <c r="G104" s="15" t="s">
        <v>195</v>
      </c>
      <c r="H104" t="s">
        <v>467</v>
      </c>
      <c r="I104" s="7" t="str">
        <f t="shared" si="5"/>
        <v>42.7213278</v>
      </c>
      <c r="J104" s="7">
        <f t="shared" si="6"/>
        <v>0.64494929999999995</v>
      </c>
      <c r="K104" t="s">
        <v>741</v>
      </c>
      <c r="L104" t="s">
        <v>99</v>
      </c>
      <c r="M104" t="s">
        <v>880</v>
      </c>
      <c r="N104" s="3"/>
      <c r="O104" t="s">
        <v>91</v>
      </c>
      <c r="P104" t="s">
        <v>80</v>
      </c>
      <c r="Q104" t="s">
        <v>1034</v>
      </c>
      <c r="R104" s="19" t="s">
        <v>315</v>
      </c>
    </row>
    <row r="105" spans="1:18">
      <c r="A105" s="13" t="s">
        <v>468</v>
      </c>
      <c r="B105" s="14">
        <v>8</v>
      </c>
      <c r="C105" s="14">
        <v>1</v>
      </c>
      <c r="D105" s="15" t="s">
        <v>41</v>
      </c>
      <c r="E105" s="14">
        <v>2018</v>
      </c>
      <c r="F105" s="14" t="s">
        <v>1007</v>
      </c>
      <c r="G105" s="15" t="s">
        <v>194</v>
      </c>
      <c r="H105" t="s">
        <v>469</v>
      </c>
      <c r="I105" s="7" t="str">
        <f t="shared" si="5"/>
        <v>42.3383596</v>
      </c>
      <c r="J105" s="7">
        <f t="shared" si="6"/>
        <v>-7.2681152999999998</v>
      </c>
      <c r="K105" t="s">
        <v>742</v>
      </c>
      <c r="L105" t="s">
        <v>99</v>
      </c>
      <c r="M105" t="s">
        <v>881</v>
      </c>
      <c r="N105" s="3"/>
      <c r="O105" t="s">
        <v>88</v>
      </c>
      <c r="P105" t="s">
        <v>80</v>
      </c>
      <c r="Q105" t="s">
        <v>1034</v>
      </c>
      <c r="R105" s="19" t="s">
        <v>1031</v>
      </c>
    </row>
    <row r="106" spans="1:18">
      <c r="A106" s="13" t="s">
        <v>470</v>
      </c>
      <c r="B106" s="14">
        <v>7</v>
      </c>
      <c r="C106" s="14">
        <v>1</v>
      </c>
      <c r="D106" s="15" t="s">
        <v>36</v>
      </c>
      <c r="E106" s="14">
        <v>2018</v>
      </c>
      <c r="F106" s="14" t="s">
        <v>1007</v>
      </c>
      <c r="G106" s="15" t="s">
        <v>193</v>
      </c>
      <c r="H106" t="s">
        <v>471</v>
      </c>
      <c r="I106" s="7" t="str">
        <f t="shared" si="5"/>
        <v>42.8655737</v>
      </c>
      <c r="J106" s="7">
        <f t="shared" si="6"/>
        <v>-0.81536249999999999</v>
      </c>
      <c r="K106" t="s">
        <v>743</v>
      </c>
      <c r="L106" t="s">
        <v>99</v>
      </c>
      <c r="M106" t="s">
        <v>1004</v>
      </c>
      <c r="N106" s="3"/>
      <c r="O106" t="s">
        <v>88</v>
      </c>
      <c r="P106" t="s">
        <v>80</v>
      </c>
      <c r="Q106" t="s">
        <v>1034</v>
      </c>
      <c r="R106" s="19" t="s">
        <v>82</v>
      </c>
    </row>
    <row r="107" spans="1:18">
      <c r="A107" s="13" t="s">
        <v>472</v>
      </c>
      <c r="B107" s="14">
        <v>6</v>
      </c>
      <c r="C107" s="14">
        <v>1</v>
      </c>
      <c r="D107" s="15" t="s">
        <v>32</v>
      </c>
      <c r="E107" s="14">
        <v>2018</v>
      </c>
      <c r="F107" s="14" t="s">
        <v>1007</v>
      </c>
      <c r="G107" s="15" t="s">
        <v>192</v>
      </c>
      <c r="H107" t="s">
        <v>473</v>
      </c>
      <c r="I107" s="7" t="str">
        <f t="shared" si="5"/>
        <v>43.2695448</v>
      </c>
      <c r="J107" s="7">
        <f t="shared" si="6"/>
        <v>-1.5426099</v>
      </c>
      <c r="K107" t="s">
        <v>744</v>
      </c>
      <c r="L107" t="s">
        <v>99</v>
      </c>
      <c r="M107" t="s">
        <v>882</v>
      </c>
      <c r="N107" s="3"/>
      <c r="O107" t="s">
        <v>279</v>
      </c>
      <c r="P107" t="s">
        <v>80</v>
      </c>
      <c r="Q107" t="s">
        <v>1034</v>
      </c>
      <c r="R107" s="19" t="s">
        <v>86</v>
      </c>
    </row>
    <row r="108" spans="1:18">
      <c r="A108" s="13" t="s">
        <v>474</v>
      </c>
      <c r="B108" s="14">
        <v>5</v>
      </c>
      <c r="C108" s="14">
        <v>1</v>
      </c>
      <c r="D108" s="15" t="s">
        <v>27</v>
      </c>
      <c r="E108" s="14">
        <v>2018</v>
      </c>
      <c r="F108" s="14" t="s">
        <v>1007</v>
      </c>
      <c r="G108" s="15" t="s">
        <v>190</v>
      </c>
      <c r="H108" t="s">
        <v>475</v>
      </c>
      <c r="I108" s="7" t="str">
        <f t="shared" si="5"/>
        <v>42.3021048</v>
      </c>
      <c r="J108" s="7">
        <f t="shared" si="6"/>
        <v>0.19718959999999999</v>
      </c>
      <c r="K108" t="s">
        <v>745</v>
      </c>
      <c r="L108" t="s">
        <v>99</v>
      </c>
      <c r="M108" t="s">
        <v>883</v>
      </c>
      <c r="N108" s="3"/>
      <c r="O108" t="s">
        <v>88</v>
      </c>
      <c r="P108" t="s">
        <v>80</v>
      </c>
      <c r="Q108" t="s">
        <v>1034</v>
      </c>
      <c r="R108" s="19" t="s">
        <v>82</v>
      </c>
    </row>
    <row r="109" spans="1:18">
      <c r="A109" s="13" t="s">
        <v>474</v>
      </c>
      <c r="B109" s="14">
        <v>5</v>
      </c>
      <c r="C109" s="14">
        <v>1</v>
      </c>
      <c r="D109" s="15" t="s">
        <v>27</v>
      </c>
      <c r="E109" s="14">
        <v>2018</v>
      </c>
      <c r="F109" s="14" t="s">
        <v>1007</v>
      </c>
      <c r="G109" s="15" t="s">
        <v>191</v>
      </c>
      <c r="H109" t="s">
        <v>476</v>
      </c>
      <c r="I109" s="7" t="str">
        <f t="shared" si="5"/>
        <v>42.2612044</v>
      </c>
      <c r="J109" s="7">
        <f t="shared" si="6"/>
        <v>5.9412E-2</v>
      </c>
      <c r="K109" t="s">
        <v>746</v>
      </c>
      <c r="L109" t="s">
        <v>99</v>
      </c>
      <c r="M109" t="s">
        <v>884</v>
      </c>
      <c r="N109" s="3"/>
      <c r="O109" t="s">
        <v>88</v>
      </c>
      <c r="P109" t="s">
        <v>80</v>
      </c>
      <c r="Q109" t="s">
        <v>1034</v>
      </c>
      <c r="R109" s="19" t="s">
        <v>82</v>
      </c>
    </row>
    <row r="110" spans="1:18">
      <c r="A110" s="13" t="s">
        <v>477</v>
      </c>
      <c r="B110" s="14">
        <v>4</v>
      </c>
      <c r="C110" s="14">
        <v>1</v>
      </c>
      <c r="D110" s="15" t="s">
        <v>21</v>
      </c>
      <c r="E110" s="14">
        <v>2018</v>
      </c>
      <c r="F110" s="14" t="s">
        <v>1007</v>
      </c>
      <c r="G110" s="15" t="s">
        <v>189</v>
      </c>
      <c r="H110" t="s">
        <v>478</v>
      </c>
      <c r="I110" s="7" t="str">
        <f t="shared" si="5"/>
        <v>42.1722397</v>
      </c>
      <c r="J110" s="7">
        <f t="shared" si="6"/>
        <v>2.2811700000000001E-2</v>
      </c>
      <c r="K110" t="s">
        <v>747</v>
      </c>
      <c r="L110" t="s">
        <v>99</v>
      </c>
      <c r="M110" t="s">
        <v>885</v>
      </c>
      <c r="N110" s="3"/>
      <c r="O110" t="s">
        <v>88</v>
      </c>
      <c r="P110" t="s">
        <v>80</v>
      </c>
      <c r="Q110" t="s">
        <v>1034</v>
      </c>
      <c r="R110" s="19" t="s">
        <v>82</v>
      </c>
    </row>
    <row r="111" spans="1:18">
      <c r="A111" s="13" t="s">
        <v>479</v>
      </c>
      <c r="B111" s="14">
        <v>3</v>
      </c>
      <c r="C111" s="14">
        <v>1</v>
      </c>
      <c r="D111" s="15" t="s">
        <v>15</v>
      </c>
      <c r="E111" s="14">
        <v>2018</v>
      </c>
      <c r="F111" s="14" t="s">
        <v>1007</v>
      </c>
      <c r="G111" s="15" t="s">
        <v>188</v>
      </c>
      <c r="H111" t="s">
        <v>480</v>
      </c>
      <c r="I111" s="7" t="str">
        <f t="shared" si="5"/>
        <v>42.3146509</v>
      </c>
      <c r="J111" s="7">
        <f t="shared" si="6"/>
        <v>-0.38027699999999998</v>
      </c>
      <c r="K111" t="s">
        <v>748</v>
      </c>
      <c r="L111" t="s">
        <v>99</v>
      </c>
      <c r="M111" t="s">
        <v>886</v>
      </c>
      <c r="N111" s="3"/>
      <c r="O111" t="s">
        <v>88</v>
      </c>
      <c r="P111" t="s">
        <v>80</v>
      </c>
      <c r="Q111" t="s">
        <v>1034</v>
      </c>
      <c r="R111" s="19" t="s">
        <v>82</v>
      </c>
    </row>
    <row r="112" spans="1:18">
      <c r="A112" s="13" t="s">
        <v>481</v>
      </c>
      <c r="B112" s="14">
        <v>2</v>
      </c>
      <c r="C112" s="14">
        <v>1</v>
      </c>
      <c r="D112" s="15" t="s">
        <v>10</v>
      </c>
      <c r="E112" s="14">
        <v>2018</v>
      </c>
      <c r="F112" s="14" t="s">
        <v>1007</v>
      </c>
      <c r="G112" s="15" t="s">
        <v>187</v>
      </c>
      <c r="H112" s="15" t="s">
        <v>482</v>
      </c>
      <c r="I112" s="7" t="str">
        <f t="shared" si="5"/>
        <v>42.5743631</v>
      </c>
      <c r="J112" s="7">
        <f t="shared" si="6"/>
        <v>1.5633500000000002E-2</v>
      </c>
      <c r="K112" t="s">
        <v>749</v>
      </c>
      <c r="L112" t="s">
        <v>99</v>
      </c>
      <c r="M112" t="s">
        <v>887</v>
      </c>
      <c r="N112" s="3"/>
      <c r="O112" t="s">
        <v>89</v>
      </c>
      <c r="P112" t="s">
        <v>80</v>
      </c>
      <c r="Q112" t="s">
        <v>1034</v>
      </c>
      <c r="R112" s="19" t="s">
        <v>82</v>
      </c>
    </row>
    <row r="113" spans="1:18">
      <c r="A113" s="13" t="s">
        <v>483</v>
      </c>
      <c r="B113" s="14">
        <v>1</v>
      </c>
      <c r="C113" s="14">
        <v>1</v>
      </c>
      <c r="D113" s="15" t="s">
        <v>6</v>
      </c>
      <c r="E113" s="14">
        <v>2018</v>
      </c>
      <c r="F113" s="14" t="s">
        <v>1007</v>
      </c>
      <c r="G113" s="15" t="s">
        <v>186</v>
      </c>
      <c r="H113" t="s">
        <v>430</v>
      </c>
      <c r="I113" s="7" t="str">
        <f t="shared" si="5"/>
        <v>42.3152901</v>
      </c>
      <c r="J113" s="7">
        <f t="shared" si="6"/>
        <v>-0.43927529999999998</v>
      </c>
      <c r="K113" t="s">
        <v>750</v>
      </c>
      <c r="L113" t="s">
        <v>99</v>
      </c>
      <c r="M113" t="s">
        <v>888</v>
      </c>
      <c r="N113" s="3"/>
      <c r="O113" t="s">
        <v>88</v>
      </c>
      <c r="P113" t="s">
        <v>80</v>
      </c>
      <c r="Q113" t="s">
        <v>1034</v>
      </c>
      <c r="R113" s="19" t="s">
        <v>82</v>
      </c>
    </row>
    <row r="114" spans="1:18">
      <c r="A114" s="13" t="s">
        <v>484</v>
      </c>
      <c r="B114" s="14">
        <v>12</v>
      </c>
      <c r="C114" s="14">
        <v>1</v>
      </c>
      <c r="D114" s="15" t="s">
        <v>121</v>
      </c>
      <c r="E114" s="14">
        <v>2017</v>
      </c>
      <c r="F114" s="14" t="s">
        <v>1007</v>
      </c>
      <c r="G114" s="15" t="s">
        <v>185</v>
      </c>
      <c r="H114" t="s">
        <v>485</v>
      </c>
      <c r="I114" s="7" t="str">
        <f t="shared" si="5"/>
        <v>40.9532507</v>
      </c>
      <c r="J114" s="7">
        <f t="shared" si="6"/>
        <v>-0.70656609999999997</v>
      </c>
      <c r="K114" t="s">
        <v>751</v>
      </c>
      <c r="L114" t="s">
        <v>99</v>
      </c>
      <c r="M114" t="s">
        <v>889</v>
      </c>
      <c r="N114" s="3"/>
      <c r="O114" t="s">
        <v>88</v>
      </c>
      <c r="P114" t="s">
        <v>80</v>
      </c>
      <c r="Q114" t="s">
        <v>1034</v>
      </c>
      <c r="R114" s="19" t="s">
        <v>285</v>
      </c>
    </row>
    <row r="115" spans="1:18">
      <c r="A115" s="13" t="s">
        <v>486</v>
      </c>
      <c r="B115" s="14">
        <v>11</v>
      </c>
      <c r="C115" s="14">
        <v>1</v>
      </c>
      <c r="D115" s="15" t="s">
        <v>56</v>
      </c>
      <c r="E115" s="14">
        <v>2017</v>
      </c>
      <c r="F115" s="14" t="s">
        <v>1007</v>
      </c>
      <c r="G115" s="15" t="s">
        <v>184</v>
      </c>
      <c r="H115" t="s">
        <v>487</v>
      </c>
      <c r="I115" s="7" t="str">
        <f t="shared" si="5"/>
        <v>42.7880427</v>
      </c>
      <c r="J115" s="7">
        <f t="shared" si="6"/>
        <v>-0.53366979999999997</v>
      </c>
      <c r="K115" t="s">
        <v>752</v>
      </c>
      <c r="L115" t="s">
        <v>99</v>
      </c>
      <c r="M115" t="s">
        <v>890</v>
      </c>
      <c r="N115" s="3"/>
      <c r="O115" t="s">
        <v>280</v>
      </c>
      <c r="P115" t="s">
        <v>80</v>
      </c>
      <c r="Q115" t="s">
        <v>1034</v>
      </c>
      <c r="R115" s="19" t="s">
        <v>82</v>
      </c>
    </row>
    <row r="116" spans="1:18">
      <c r="A116" s="13" t="s">
        <v>488</v>
      </c>
      <c r="B116" s="14">
        <v>10</v>
      </c>
      <c r="C116" s="14">
        <v>1</v>
      </c>
      <c r="D116" s="15" t="s">
        <v>46</v>
      </c>
      <c r="E116" s="14">
        <v>2017</v>
      </c>
      <c r="F116" s="14" t="s">
        <v>1007</v>
      </c>
      <c r="G116" s="15" t="s">
        <v>183</v>
      </c>
      <c r="H116" s="15" t="s">
        <v>489</v>
      </c>
      <c r="I116" s="7" t="str">
        <f t="shared" si="5"/>
        <v>40.787922</v>
      </c>
      <c r="J116" s="7">
        <f t="shared" si="6"/>
        <v>-3.5937200000000002E-2</v>
      </c>
      <c r="K116" t="s">
        <v>753</v>
      </c>
      <c r="L116" t="s">
        <v>99</v>
      </c>
      <c r="M116" t="s">
        <v>891</v>
      </c>
      <c r="N116" s="3"/>
      <c r="O116" t="s">
        <v>280</v>
      </c>
      <c r="P116" t="s">
        <v>80</v>
      </c>
      <c r="Q116" t="s">
        <v>1034</v>
      </c>
      <c r="R116" s="19" t="s">
        <v>285</v>
      </c>
    </row>
    <row r="117" spans="1:18">
      <c r="A117" s="13" t="s">
        <v>490</v>
      </c>
      <c r="B117" s="14">
        <v>9</v>
      </c>
      <c r="C117" s="14">
        <v>1</v>
      </c>
      <c r="D117" s="15" t="s">
        <v>129</v>
      </c>
      <c r="E117" s="14">
        <v>2017</v>
      </c>
      <c r="F117" s="14" t="s">
        <v>1007</v>
      </c>
      <c r="G117" s="15" t="s">
        <v>491</v>
      </c>
      <c r="H117" s="15" t="s">
        <v>491</v>
      </c>
      <c r="I117" s="7" t="str">
        <f t="shared" si="5"/>
        <v>42.3758319</v>
      </c>
      <c r="J117" s="7">
        <f t="shared" si="6"/>
        <v>0.15132409999999999</v>
      </c>
      <c r="K117" t="s">
        <v>754</v>
      </c>
      <c r="L117" t="s">
        <v>99</v>
      </c>
      <c r="M117" t="s">
        <v>892</v>
      </c>
      <c r="N117" s="3"/>
      <c r="O117" t="s">
        <v>88</v>
      </c>
      <c r="P117" t="s">
        <v>80</v>
      </c>
      <c r="Q117" t="s">
        <v>1034</v>
      </c>
      <c r="R117" s="19" t="s">
        <v>82</v>
      </c>
    </row>
    <row r="118" spans="1:18">
      <c r="A118" s="13" t="s">
        <v>490</v>
      </c>
      <c r="B118" s="14">
        <v>9</v>
      </c>
      <c r="C118" s="14">
        <v>1</v>
      </c>
      <c r="D118" s="15" t="s">
        <v>129</v>
      </c>
      <c r="E118" s="14">
        <v>2017</v>
      </c>
      <c r="F118" s="14" t="s">
        <v>1007</v>
      </c>
      <c r="G118" s="15" t="s">
        <v>492</v>
      </c>
      <c r="H118" s="15" t="s">
        <v>493</v>
      </c>
      <c r="I118" s="7" t="str">
        <f t="shared" si="5"/>
        <v>42.598938</v>
      </c>
      <c r="J118" s="7">
        <f t="shared" si="6"/>
        <v>0.14296210000000001</v>
      </c>
      <c r="K118" t="s">
        <v>755</v>
      </c>
      <c r="L118" t="s">
        <v>99</v>
      </c>
      <c r="M118" s="10" t="s">
        <v>893</v>
      </c>
      <c r="N118" s="3"/>
      <c r="O118" t="s">
        <v>88</v>
      </c>
      <c r="P118" t="s">
        <v>80</v>
      </c>
      <c r="Q118" t="s">
        <v>1034</v>
      </c>
      <c r="R118" s="19" t="s">
        <v>82</v>
      </c>
    </row>
    <row r="119" spans="1:18">
      <c r="A119" s="13" t="s">
        <v>494</v>
      </c>
      <c r="B119" s="14">
        <v>7</v>
      </c>
      <c r="C119" s="14">
        <v>1</v>
      </c>
      <c r="D119" s="15" t="s">
        <v>36</v>
      </c>
      <c r="E119" s="14">
        <v>2017</v>
      </c>
      <c r="F119" s="14" t="s">
        <v>1007</v>
      </c>
      <c r="G119" s="15" t="s">
        <v>182</v>
      </c>
      <c r="H119" s="15" t="s">
        <v>495</v>
      </c>
      <c r="I119" s="7" t="str">
        <f t="shared" si="5"/>
        <v>42.7376804</v>
      </c>
      <c r="J119" s="7">
        <f t="shared" si="6"/>
        <v>-0.59192719999999999</v>
      </c>
      <c r="K119" t="s">
        <v>756</v>
      </c>
      <c r="L119" t="s">
        <v>99</v>
      </c>
      <c r="M119" t="s">
        <v>894</v>
      </c>
      <c r="N119" s="3"/>
      <c r="O119" t="s">
        <v>88</v>
      </c>
      <c r="P119" t="s">
        <v>80</v>
      </c>
      <c r="Q119" t="s">
        <v>1034</v>
      </c>
      <c r="R119" s="19" t="s">
        <v>82</v>
      </c>
    </row>
    <row r="120" spans="1:18">
      <c r="A120" s="13" t="s">
        <v>496</v>
      </c>
      <c r="B120" s="14">
        <v>6</v>
      </c>
      <c r="C120" s="14">
        <v>1</v>
      </c>
      <c r="D120" s="15" t="s">
        <v>32</v>
      </c>
      <c r="E120" s="14">
        <v>2017</v>
      </c>
      <c r="F120" s="14" t="s">
        <v>1007</v>
      </c>
      <c r="G120" s="15" t="s">
        <v>181</v>
      </c>
      <c r="H120" s="15" t="s">
        <v>497</v>
      </c>
      <c r="I120" s="7" t="str">
        <f t="shared" si="5"/>
        <v>42.8979454</v>
      </c>
      <c r="J120" s="7">
        <f t="shared" si="6"/>
        <v>-0.80211480000000002</v>
      </c>
      <c r="K120" t="s">
        <v>757</v>
      </c>
      <c r="L120" t="s">
        <v>99</v>
      </c>
      <c r="M120" t="s">
        <v>1004</v>
      </c>
      <c r="N120" s="3"/>
      <c r="O120" t="s">
        <v>279</v>
      </c>
      <c r="P120" t="s">
        <v>80</v>
      </c>
      <c r="Q120" t="s">
        <v>1034</v>
      </c>
      <c r="R120" s="19" t="s">
        <v>82</v>
      </c>
    </row>
    <row r="121" spans="1:18">
      <c r="A121" s="13" t="s">
        <v>498</v>
      </c>
      <c r="B121" s="14">
        <v>5</v>
      </c>
      <c r="C121" s="14">
        <v>1</v>
      </c>
      <c r="D121" s="15" t="s">
        <v>27</v>
      </c>
      <c r="E121" s="14">
        <v>2017</v>
      </c>
      <c r="F121" s="14" t="s">
        <v>1007</v>
      </c>
      <c r="G121" s="15" t="s">
        <v>179</v>
      </c>
      <c r="H121" s="15" t="s">
        <v>499</v>
      </c>
      <c r="I121" s="7" t="str">
        <f t="shared" si="5"/>
        <v>40.0577786</v>
      </c>
      <c r="J121" s="7">
        <f t="shared" si="6"/>
        <v>-5.7569756999999999</v>
      </c>
      <c r="K121" t="s">
        <v>758</v>
      </c>
      <c r="L121" t="s">
        <v>99</v>
      </c>
      <c r="M121" t="s">
        <v>1004</v>
      </c>
      <c r="N121" s="3"/>
      <c r="O121" t="s">
        <v>88</v>
      </c>
      <c r="P121" t="s">
        <v>80</v>
      </c>
      <c r="Q121" t="s">
        <v>1034</v>
      </c>
      <c r="R121" s="19" t="s">
        <v>1032</v>
      </c>
    </row>
    <row r="122" spans="1:18">
      <c r="A122" s="13" t="s">
        <v>498</v>
      </c>
      <c r="B122" s="14">
        <v>5</v>
      </c>
      <c r="C122" s="14">
        <v>1</v>
      </c>
      <c r="D122" s="15" t="s">
        <v>27</v>
      </c>
      <c r="E122" s="14">
        <v>2017</v>
      </c>
      <c r="F122" s="14" t="s">
        <v>1007</v>
      </c>
      <c r="G122" s="15" t="s">
        <v>180</v>
      </c>
      <c r="H122" s="15" t="s">
        <v>500</v>
      </c>
      <c r="I122" s="7" t="str">
        <f t="shared" si="5"/>
        <v>42.6806591</v>
      </c>
      <c r="J122" s="7">
        <f t="shared" si="6"/>
        <v>-0.51671279999999997</v>
      </c>
      <c r="K122" t="s">
        <v>759</v>
      </c>
      <c r="L122" t="s">
        <v>99</v>
      </c>
      <c r="M122" t="s">
        <v>895</v>
      </c>
      <c r="N122" s="3"/>
      <c r="O122" t="s">
        <v>88</v>
      </c>
      <c r="P122" t="s">
        <v>80</v>
      </c>
      <c r="Q122" t="s">
        <v>1034</v>
      </c>
      <c r="R122" s="19" t="s">
        <v>82</v>
      </c>
    </row>
    <row r="123" spans="1:18">
      <c r="A123" s="13" t="s">
        <v>501</v>
      </c>
      <c r="B123" s="15">
        <v>4</v>
      </c>
      <c r="C123" s="15">
        <v>1</v>
      </c>
      <c r="D123" s="15" t="s">
        <v>21</v>
      </c>
      <c r="E123" s="15">
        <v>2017</v>
      </c>
      <c r="F123" s="14" t="s">
        <v>1007</v>
      </c>
      <c r="G123" s="15" t="s">
        <v>503</v>
      </c>
      <c r="H123" s="15" t="s">
        <v>504</v>
      </c>
      <c r="I123" s="7" t="str">
        <f t="shared" si="5"/>
        <v>42.5196022</v>
      </c>
      <c r="J123" s="7">
        <f t="shared" si="6"/>
        <v>-0.37307109999999999</v>
      </c>
      <c r="K123" t="s">
        <v>761</v>
      </c>
      <c r="L123" t="s">
        <v>99</v>
      </c>
      <c r="M123" t="s">
        <v>1004</v>
      </c>
      <c r="N123" s="3"/>
      <c r="O123" t="s">
        <v>91</v>
      </c>
      <c r="P123" t="s">
        <v>80</v>
      </c>
      <c r="Q123" t="s">
        <v>1034</v>
      </c>
      <c r="R123" s="19" t="s">
        <v>82</v>
      </c>
    </row>
    <row r="124" spans="1:18">
      <c r="A124" s="13" t="s">
        <v>501</v>
      </c>
      <c r="B124" s="15">
        <v>4</v>
      </c>
      <c r="C124" s="15">
        <v>1</v>
      </c>
      <c r="D124" s="15" t="s">
        <v>21</v>
      </c>
      <c r="E124" s="15">
        <v>2017</v>
      </c>
      <c r="F124" s="14" t="s">
        <v>1007</v>
      </c>
      <c r="G124" s="15" t="s">
        <v>502</v>
      </c>
      <c r="H124" s="15" t="s">
        <v>54</v>
      </c>
      <c r="I124" s="7" t="str">
        <f t="shared" si="5"/>
        <v>42.4132913</v>
      </c>
      <c r="J124" s="7">
        <f t="shared" si="6"/>
        <v>-0.1197907</v>
      </c>
      <c r="K124" t="s">
        <v>760</v>
      </c>
      <c r="L124" t="s">
        <v>99</v>
      </c>
      <c r="M124" t="s">
        <v>896</v>
      </c>
      <c r="N124" s="3"/>
      <c r="O124" t="s">
        <v>91</v>
      </c>
      <c r="P124" t="s">
        <v>80</v>
      </c>
      <c r="Q124" t="s">
        <v>1034</v>
      </c>
      <c r="R124" s="19" t="s">
        <v>82</v>
      </c>
    </row>
    <row r="125" spans="1:18">
      <c r="A125" s="13" t="s">
        <v>505</v>
      </c>
      <c r="B125" s="14">
        <v>3</v>
      </c>
      <c r="C125" s="14">
        <v>1</v>
      </c>
      <c r="D125" s="15" t="s">
        <v>15</v>
      </c>
      <c r="E125" s="14">
        <v>2017</v>
      </c>
      <c r="F125" s="14" t="s">
        <v>1007</v>
      </c>
      <c r="G125" s="15" t="s">
        <v>172</v>
      </c>
      <c r="H125" t="s">
        <v>371</v>
      </c>
      <c r="I125" s="7" t="str">
        <f t="shared" si="5"/>
        <v>42.2824179</v>
      </c>
      <c r="J125" s="7">
        <f t="shared" si="6"/>
        <v>-7.98846E-2</v>
      </c>
      <c r="K125" t="s">
        <v>762</v>
      </c>
      <c r="L125" t="s">
        <v>99</v>
      </c>
      <c r="M125" t="s">
        <v>897</v>
      </c>
      <c r="N125" s="3"/>
      <c r="O125" t="s">
        <v>88</v>
      </c>
      <c r="P125" t="s">
        <v>80</v>
      </c>
      <c r="Q125" t="s">
        <v>1034</v>
      </c>
      <c r="R125" s="19" t="s">
        <v>82</v>
      </c>
    </row>
    <row r="126" spans="1:18">
      <c r="A126" s="13" t="s">
        <v>506</v>
      </c>
      <c r="B126" s="14">
        <v>2</v>
      </c>
      <c r="C126" s="14">
        <v>1</v>
      </c>
      <c r="D126" s="15" t="s">
        <v>10</v>
      </c>
      <c r="E126" s="14">
        <v>2017</v>
      </c>
      <c r="F126" s="14" t="s">
        <v>1007</v>
      </c>
      <c r="G126" s="15" t="s">
        <v>178</v>
      </c>
      <c r="H126" t="s">
        <v>507</v>
      </c>
      <c r="I126" s="7" t="str">
        <f t="shared" si="5"/>
        <v>42.6787959</v>
      </c>
      <c r="J126" s="7">
        <f t="shared" si="6"/>
        <v>-0.62325059999999999</v>
      </c>
      <c r="K126" t="s">
        <v>763</v>
      </c>
      <c r="L126" t="s">
        <v>99</v>
      </c>
      <c r="M126" t="s">
        <v>898</v>
      </c>
      <c r="N126" s="3"/>
      <c r="O126" t="s">
        <v>88</v>
      </c>
      <c r="P126" t="s">
        <v>993</v>
      </c>
      <c r="Q126" t="s">
        <v>1034</v>
      </c>
      <c r="R126" s="19" t="s">
        <v>82</v>
      </c>
    </row>
    <row r="127" spans="1:18">
      <c r="A127" s="13" t="s">
        <v>508</v>
      </c>
      <c r="B127" s="14">
        <v>1</v>
      </c>
      <c r="C127" s="14">
        <v>1</v>
      </c>
      <c r="D127" s="15" t="s">
        <v>6</v>
      </c>
      <c r="E127" s="14">
        <v>2017</v>
      </c>
      <c r="F127" s="14" t="s">
        <v>1007</v>
      </c>
      <c r="G127" s="15" t="s">
        <v>177</v>
      </c>
      <c r="H127" t="s">
        <v>509</v>
      </c>
      <c r="I127" s="7" t="str">
        <f t="shared" si="5"/>
        <v>42.4969329</v>
      </c>
      <c r="J127" s="7">
        <f t="shared" si="6"/>
        <v>-0.1197308</v>
      </c>
      <c r="K127" t="s">
        <v>764</v>
      </c>
      <c r="L127" t="s">
        <v>99</v>
      </c>
      <c r="M127" t="s">
        <v>899</v>
      </c>
      <c r="N127" s="3"/>
      <c r="O127" t="s">
        <v>88</v>
      </c>
      <c r="P127" t="s">
        <v>80</v>
      </c>
      <c r="Q127" t="s">
        <v>1034</v>
      </c>
      <c r="R127" s="19" t="s">
        <v>82</v>
      </c>
    </row>
    <row r="128" spans="1:18">
      <c r="A128" s="13" t="s">
        <v>510</v>
      </c>
      <c r="B128" s="14">
        <v>12</v>
      </c>
      <c r="C128" s="14">
        <v>1</v>
      </c>
      <c r="D128" s="15" t="s">
        <v>121</v>
      </c>
      <c r="E128" s="14">
        <v>2016</v>
      </c>
      <c r="F128" s="14" t="s">
        <v>1007</v>
      </c>
      <c r="G128" s="15" t="s">
        <v>176</v>
      </c>
      <c r="H128" t="s">
        <v>511</v>
      </c>
      <c r="I128" s="7" t="str">
        <f t="shared" si="5"/>
        <v>42.2475964</v>
      </c>
      <c r="J128" s="7">
        <f t="shared" si="6"/>
        <v>-0.28213009999999999</v>
      </c>
      <c r="K128" t="s">
        <v>765</v>
      </c>
      <c r="L128" t="s">
        <v>99</v>
      </c>
      <c r="M128" t="s">
        <v>900</v>
      </c>
      <c r="N128" s="3"/>
      <c r="O128" t="s">
        <v>88</v>
      </c>
      <c r="P128" t="s">
        <v>80</v>
      </c>
      <c r="Q128" t="s">
        <v>1034</v>
      </c>
      <c r="R128" s="19" t="s">
        <v>82</v>
      </c>
    </row>
    <row r="129" spans="1:18">
      <c r="A129" s="13" t="s">
        <v>512</v>
      </c>
      <c r="B129" s="14">
        <v>11</v>
      </c>
      <c r="C129" s="14">
        <v>1</v>
      </c>
      <c r="D129" s="15" t="s">
        <v>56</v>
      </c>
      <c r="E129" s="14">
        <v>2016</v>
      </c>
      <c r="F129" s="14" t="s">
        <v>1007</v>
      </c>
      <c r="G129" s="15" t="s">
        <v>175</v>
      </c>
      <c r="H129" t="s">
        <v>513</v>
      </c>
      <c r="I129" s="7" t="str">
        <f t="shared" si="5"/>
        <v>40.843166</v>
      </c>
      <c r="J129" s="7">
        <f t="shared" si="6"/>
        <v>-1.9804782000000001</v>
      </c>
      <c r="K129" t="s">
        <v>766</v>
      </c>
      <c r="L129" t="s">
        <v>99</v>
      </c>
      <c r="M129" t="s">
        <v>901</v>
      </c>
      <c r="N129" s="3"/>
      <c r="O129" t="s">
        <v>88</v>
      </c>
      <c r="P129" t="s">
        <v>80</v>
      </c>
      <c r="Q129" t="s">
        <v>1034</v>
      </c>
      <c r="R129" s="19" t="s">
        <v>1030</v>
      </c>
    </row>
    <row r="130" spans="1:18">
      <c r="A130" s="13" t="s">
        <v>514</v>
      </c>
      <c r="B130" s="14">
        <v>10</v>
      </c>
      <c r="C130" s="14">
        <v>1</v>
      </c>
      <c r="D130" s="15" t="s">
        <v>46</v>
      </c>
      <c r="E130" s="14">
        <v>2016</v>
      </c>
      <c r="F130" s="14" t="s">
        <v>1007</v>
      </c>
      <c r="G130" s="15" t="s">
        <v>174</v>
      </c>
      <c r="H130" t="s">
        <v>515</v>
      </c>
      <c r="I130" s="7" t="str">
        <f t="shared" ref="I130:I193" si="7">MID(K130,FIND("@",K130)+1,FIND(",",K130,FIND("@",K130))-FIND("@",K130)-1)</f>
        <v>42.7641664</v>
      </c>
      <c r="J130" s="7">
        <f t="shared" ref="J130:J193" si="8">VALUE(SUBSTITUTE(MID(K130,FIND(",",K130,FIND("@",K130))+1,FIND(",",K130,FIND(",",K130,FIND("@",K130))+1)-FIND(",",K130,FIND("@",K130))-1),".",","))</f>
        <v>-0.63656729999999995</v>
      </c>
      <c r="K130" t="s">
        <v>735</v>
      </c>
      <c r="L130" t="s">
        <v>99</v>
      </c>
      <c r="M130" t="s">
        <v>902</v>
      </c>
      <c r="N130" s="3"/>
      <c r="O130" t="s">
        <v>88</v>
      </c>
      <c r="P130" t="s">
        <v>80</v>
      </c>
      <c r="Q130" t="s">
        <v>1034</v>
      </c>
      <c r="R130" s="19" t="s">
        <v>82</v>
      </c>
    </row>
    <row r="131" spans="1:18">
      <c r="A131" s="13" t="s">
        <v>516</v>
      </c>
      <c r="B131" s="15">
        <v>9</v>
      </c>
      <c r="C131" s="15">
        <v>1</v>
      </c>
      <c r="D131" s="15" t="s">
        <v>129</v>
      </c>
      <c r="E131" s="15">
        <v>2016</v>
      </c>
      <c r="F131" s="14" t="s">
        <v>1007</v>
      </c>
      <c r="G131" s="15" t="s">
        <v>519</v>
      </c>
      <c r="H131" t="s">
        <v>518</v>
      </c>
      <c r="I131" s="7" t="str">
        <f t="shared" si="7"/>
        <v>42.660696</v>
      </c>
      <c r="J131" s="7">
        <f t="shared" si="8"/>
        <v>0.37464500000000001</v>
      </c>
      <c r="K131" t="s">
        <v>767</v>
      </c>
      <c r="L131" t="s">
        <v>99</v>
      </c>
      <c r="M131" t="s">
        <v>1004</v>
      </c>
      <c r="N131" s="3"/>
      <c r="O131" t="s">
        <v>88</v>
      </c>
      <c r="P131" t="s">
        <v>80</v>
      </c>
      <c r="Q131" t="s">
        <v>1034</v>
      </c>
      <c r="R131" s="19" t="s">
        <v>82</v>
      </c>
    </row>
    <row r="132" spans="1:18">
      <c r="A132" s="13" t="s">
        <v>516</v>
      </c>
      <c r="B132" s="15">
        <v>9</v>
      </c>
      <c r="C132" s="15">
        <v>1</v>
      </c>
      <c r="D132" s="15" t="s">
        <v>129</v>
      </c>
      <c r="E132" s="15">
        <v>2016</v>
      </c>
      <c r="F132" s="14" t="s">
        <v>1007</v>
      </c>
      <c r="G132" s="15" t="s">
        <v>517</v>
      </c>
      <c r="H132" t="s">
        <v>518</v>
      </c>
      <c r="I132" s="7" t="str">
        <f t="shared" si="7"/>
        <v>42.660696</v>
      </c>
      <c r="J132" s="7">
        <f t="shared" si="8"/>
        <v>0.37464500000000001</v>
      </c>
      <c r="K132" t="s">
        <v>767</v>
      </c>
      <c r="L132" t="s">
        <v>99</v>
      </c>
      <c r="M132" t="s">
        <v>903</v>
      </c>
      <c r="N132" s="3"/>
      <c r="O132" t="s">
        <v>88</v>
      </c>
      <c r="P132" t="s">
        <v>80</v>
      </c>
      <c r="Q132" t="s">
        <v>1034</v>
      </c>
      <c r="R132" s="19" t="s">
        <v>82</v>
      </c>
    </row>
    <row r="133" spans="1:18">
      <c r="A133" s="13" t="s">
        <v>520</v>
      </c>
      <c r="B133" s="14">
        <v>6</v>
      </c>
      <c r="C133" s="14">
        <v>1</v>
      </c>
      <c r="D133" s="15" t="s">
        <v>32</v>
      </c>
      <c r="E133" s="14">
        <v>2016</v>
      </c>
      <c r="F133" s="14" t="s">
        <v>1007</v>
      </c>
      <c r="G133" s="15" t="s">
        <v>173</v>
      </c>
      <c r="H133" t="s">
        <v>521</v>
      </c>
      <c r="I133" s="7" t="str">
        <f t="shared" si="7"/>
        <v>42.8761258</v>
      </c>
      <c r="J133" s="7">
        <f t="shared" si="8"/>
        <v>-2.0977996999999999</v>
      </c>
      <c r="K133" t="s">
        <v>768</v>
      </c>
      <c r="L133" t="s">
        <v>99</v>
      </c>
      <c r="M133" t="s">
        <v>1004</v>
      </c>
      <c r="N133" s="3"/>
      <c r="O133" t="s">
        <v>279</v>
      </c>
      <c r="P133" t="s">
        <v>80</v>
      </c>
      <c r="Q133" t="s">
        <v>1034</v>
      </c>
      <c r="R133" s="19" t="s">
        <v>86</v>
      </c>
    </row>
    <row r="134" spans="1:18">
      <c r="A134" s="13" t="s">
        <v>522</v>
      </c>
      <c r="B134" s="15">
        <v>5</v>
      </c>
      <c r="C134" s="15">
        <v>1</v>
      </c>
      <c r="D134" s="15" t="s">
        <v>27</v>
      </c>
      <c r="E134" s="15">
        <v>2016</v>
      </c>
      <c r="F134" s="14" t="s">
        <v>1007</v>
      </c>
      <c r="G134" s="15" t="s">
        <v>523</v>
      </c>
      <c r="H134" s="15" t="s">
        <v>524</v>
      </c>
      <c r="I134" s="7" t="str">
        <f t="shared" si="7"/>
        <v>40.8310761</v>
      </c>
      <c r="J134" s="7">
        <f t="shared" si="8"/>
        <v>0.17912230000000001</v>
      </c>
      <c r="K134" t="s">
        <v>769</v>
      </c>
      <c r="L134" t="s">
        <v>99</v>
      </c>
      <c r="M134" t="s">
        <v>904</v>
      </c>
      <c r="N134" s="3"/>
      <c r="O134" t="s">
        <v>88</v>
      </c>
      <c r="P134" t="s">
        <v>80</v>
      </c>
      <c r="Q134" t="s">
        <v>1034</v>
      </c>
      <c r="R134" s="19" t="s">
        <v>285</v>
      </c>
    </row>
    <row r="135" spans="1:18">
      <c r="A135" s="13" t="s">
        <v>522</v>
      </c>
      <c r="B135" s="15">
        <v>5</v>
      </c>
      <c r="C135" s="15">
        <v>1</v>
      </c>
      <c r="D135" s="15" t="s">
        <v>27</v>
      </c>
      <c r="E135" s="15">
        <v>2016</v>
      </c>
      <c r="F135" s="14" t="s">
        <v>1007</v>
      </c>
      <c r="G135" s="15" t="s">
        <v>525</v>
      </c>
      <c r="H135" s="15" t="s">
        <v>526</v>
      </c>
      <c r="I135" s="7" t="str">
        <f t="shared" si="7"/>
        <v>40.9109865</v>
      </c>
      <c r="J135" s="7">
        <f t="shared" si="8"/>
        <v>0.25824150000000001</v>
      </c>
      <c r="K135" t="s">
        <v>770</v>
      </c>
      <c r="L135" t="s">
        <v>99</v>
      </c>
      <c r="M135" t="s">
        <v>905</v>
      </c>
      <c r="N135" s="3"/>
      <c r="O135" t="s">
        <v>88</v>
      </c>
      <c r="P135" t="s">
        <v>80</v>
      </c>
      <c r="Q135" t="s">
        <v>1034</v>
      </c>
      <c r="R135" s="19" t="s">
        <v>83</v>
      </c>
    </row>
    <row r="136" spans="1:18">
      <c r="A136" s="13" t="s">
        <v>527</v>
      </c>
      <c r="B136" s="14">
        <v>4</v>
      </c>
      <c r="C136" s="14">
        <v>1</v>
      </c>
      <c r="D136" s="15" t="s">
        <v>21</v>
      </c>
      <c r="E136" s="14">
        <v>2016</v>
      </c>
      <c r="F136" s="14" t="s">
        <v>1007</v>
      </c>
      <c r="G136" s="15" t="s">
        <v>172</v>
      </c>
      <c r="H136" t="s">
        <v>371</v>
      </c>
      <c r="I136" s="7" t="str">
        <f t="shared" si="7"/>
        <v>42.2824179</v>
      </c>
      <c r="J136" s="7">
        <f t="shared" si="8"/>
        <v>-7.98846E-2</v>
      </c>
      <c r="K136" t="s">
        <v>762</v>
      </c>
      <c r="L136" t="s">
        <v>99</v>
      </c>
      <c r="M136" t="s">
        <v>897</v>
      </c>
      <c r="N136" s="3"/>
      <c r="O136" t="s">
        <v>88</v>
      </c>
      <c r="P136" t="s">
        <v>80</v>
      </c>
      <c r="Q136" t="s">
        <v>1034</v>
      </c>
      <c r="R136" s="19" t="s">
        <v>82</v>
      </c>
    </row>
    <row r="137" spans="1:18">
      <c r="A137" s="13" t="s">
        <v>528</v>
      </c>
      <c r="B137" s="14">
        <v>2</v>
      </c>
      <c r="C137" s="14">
        <v>1</v>
      </c>
      <c r="D137" s="15" t="s">
        <v>10</v>
      </c>
      <c r="E137" s="14">
        <v>2016</v>
      </c>
      <c r="F137" s="14" t="s">
        <v>1007</v>
      </c>
      <c r="G137" s="15" t="s">
        <v>171</v>
      </c>
      <c r="H137" t="s">
        <v>529</v>
      </c>
      <c r="I137" s="7" t="str">
        <f t="shared" si="7"/>
        <v>42.7502889</v>
      </c>
      <c r="J137" s="7">
        <f t="shared" si="8"/>
        <v>-0.5202871</v>
      </c>
      <c r="K137" t="s">
        <v>771</v>
      </c>
      <c r="L137" t="s">
        <v>99</v>
      </c>
      <c r="M137" t="s">
        <v>1004</v>
      </c>
      <c r="N137" s="3"/>
      <c r="O137" t="s">
        <v>88</v>
      </c>
      <c r="P137" t="s">
        <v>993</v>
      </c>
      <c r="Q137" t="s">
        <v>1034</v>
      </c>
      <c r="R137" s="19" t="s">
        <v>82</v>
      </c>
    </row>
    <row r="138" spans="1:18">
      <c r="A138" s="13" t="s">
        <v>530</v>
      </c>
      <c r="B138" s="14">
        <v>1</v>
      </c>
      <c r="C138" s="14">
        <v>1</v>
      </c>
      <c r="D138" s="15" t="s">
        <v>6</v>
      </c>
      <c r="E138" s="14">
        <v>2016</v>
      </c>
      <c r="F138" s="14" t="s">
        <v>1007</v>
      </c>
      <c r="G138" s="15" t="s">
        <v>170</v>
      </c>
      <c r="H138" t="s">
        <v>531</v>
      </c>
      <c r="I138" s="7" t="str">
        <f t="shared" si="7"/>
        <v>40.6411899</v>
      </c>
      <c r="J138" s="7">
        <f t="shared" si="8"/>
        <v>-1.4719616</v>
      </c>
      <c r="K138" t="s">
        <v>772</v>
      </c>
      <c r="L138" t="s">
        <v>99</v>
      </c>
      <c r="M138" t="s">
        <v>906</v>
      </c>
      <c r="N138" s="3"/>
      <c r="O138" t="s">
        <v>88</v>
      </c>
      <c r="P138" t="s">
        <v>80</v>
      </c>
      <c r="Q138" t="s">
        <v>1034</v>
      </c>
      <c r="R138" s="19" t="s">
        <v>285</v>
      </c>
    </row>
    <row r="139" spans="1:18">
      <c r="A139" s="13" t="s">
        <v>532</v>
      </c>
      <c r="B139" s="14">
        <v>12</v>
      </c>
      <c r="C139" s="14">
        <v>1</v>
      </c>
      <c r="D139" s="15" t="s">
        <v>121</v>
      </c>
      <c r="E139" s="14">
        <v>2015</v>
      </c>
      <c r="F139" s="14" t="s">
        <v>1007</v>
      </c>
      <c r="G139" s="15" t="s">
        <v>169</v>
      </c>
      <c r="H139" t="s">
        <v>533</v>
      </c>
      <c r="I139" s="7" t="str">
        <f t="shared" si="7"/>
        <v>40.8338513</v>
      </c>
      <c r="J139" s="7">
        <f t="shared" si="8"/>
        <v>-0.80277620000000005</v>
      </c>
      <c r="K139" t="s">
        <v>773</v>
      </c>
      <c r="L139" t="s">
        <v>99</v>
      </c>
      <c r="M139" t="s">
        <v>907</v>
      </c>
      <c r="N139" s="3"/>
      <c r="O139" t="s">
        <v>88</v>
      </c>
      <c r="P139" t="s">
        <v>80</v>
      </c>
      <c r="Q139" t="s">
        <v>1034</v>
      </c>
      <c r="R139" s="19" t="s">
        <v>285</v>
      </c>
    </row>
    <row r="140" spans="1:18">
      <c r="A140" s="13" t="s">
        <v>534</v>
      </c>
      <c r="B140" s="14">
        <v>11</v>
      </c>
      <c r="C140" s="14">
        <v>1</v>
      </c>
      <c r="D140" s="15" t="s">
        <v>56</v>
      </c>
      <c r="E140" s="14">
        <v>2015</v>
      </c>
      <c r="F140" s="14" t="s">
        <v>1007</v>
      </c>
      <c r="G140" s="15" t="s">
        <v>168</v>
      </c>
      <c r="H140" t="s">
        <v>338</v>
      </c>
      <c r="I140" s="7" t="str">
        <f t="shared" si="7"/>
        <v>42.5872816</v>
      </c>
      <c r="J140" s="7">
        <f t="shared" si="8"/>
        <v>-2.1610500000000001E-2</v>
      </c>
      <c r="K140" t="s">
        <v>774</v>
      </c>
      <c r="L140" t="s">
        <v>99</v>
      </c>
      <c r="M140" t="s">
        <v>908</v>
      </c>
      <c r="N140" s="3"/>
      <c r="O140" t="s">
        <v>88</v>
      </c>
      <c r="P140" t="s">
        <v>80</v>
      </c>
      <c r="Q140" t="s">
        <v>1034</v>
      </c>
      <c r="R140" s="19" t="s">
        <v>82</v>
      </c>
    </row>
    <row r="141" spans="1:18">
      <c r="A141" s="13" t="s">
        <v>535</v>
      </c>
      <c r="B141" s="15">
        <v>10</v>
      </c>
      <c r="C141" s="15">
        <v>1</v>
      </c>
      <c r="D141" s="15" t="s">
        <v>46</v>
      </c>
      <c r="E141" s="15">
        <v>2015</v>
      </c>
      <c r="F141" s="14" t="s">
        <v>1007</v>
      </c>
      <c r="G141" s="15" t="s">
        <v>536</v>
      </c>
      <c r="H141" s="15" t="s">
        <v>497</v>
      </c>
      <c r="I141" s="7" t="str">
        <f t="shared" si="7"/>
        <v>42.8979454</v>
      </c>
      <c r="J141" s="7">
        <f t="shared" si="8"/>
        <v>-0.80211480000000002</v>
      </c>
      <c r="K141" t="s">
        <v>757</v>
      </c>
      <c r="L141" t="s">
        <v>99</v>
      </c>
      <c r="M141" t="s">
        <v>909</v>
      </c>
      <c r="N141" s="3"/>
      <c r="O141" t="s">
        <v>89</v>
      </c>
      <c r="P141" t="s">
        <v>80</v>
      </c>
      <c r="Q141" t="s">
        <v>1034</v>
      </c>
      <c r="R141" s="19" t="s">
        <v>82</v>
      </c>
    </row>
    <row r="142" spans="1:18">
      <c r="A142" s="13" t="s">
        <v>535</v>
      </c>
      <c r="B142" s="15">
        <v>10</v>
      </c>
      <c r="C142" s="15">
        <v>1</v>
      </c>
      <c r="D142" s="15" t="s">
        <v>46</v>
      </c>
      <c r="E142" s="15">
        <v>2015</v>
      </c>
      <c r="F142" s="14" t="s">
        <v>1007</v>
      </c>
      <c r="G142" s="15" t="s">
        <v>537</v>
      </c>
      <c r="H142" s="15" t="s">
        <v>497</v>
      </c>
      <c r="I142" s="7" t="str">
        <f t="shared" si="7"/>
        <v>42.8979454</v>
      </c>
      <c r="J142" s="7">
        <f t="shared" si="8"/>
        <v>-0.80211480000000002</v>
      </c>
      <c r="K142" t="s">
        <v>757</v>
      </c>
      <c r="L142" t="s">
        <v>99</v>
      </c>
      <c r="M142" t="s">
        <v>910</v>
      </c>
      <c r="N142" s="3"/>
      <c r="O142" t="s">
        <v>89</v>
      </c>
      <c r="P142" t="s">
        <v>80</v>
      </c>
      <c r="Q142" t="s">
        <v>1034</v>
      </c>
      <c r="R142" s="19" t="s">
        <v>82</v>
      </c>
    </row>
    <row r="143" spans="1:18">
      <c r="A143" s="13" t="s">
        <v>538</v>
      </c>
      <c r="B143" s="15">
        <v>9</v>
      </c>
      <c r="C143" s="15">
        <v>1</v>
      </c>
      <c r="D143" s="15" t="s">
        <v>129</v>
      </c>
      <c r="E143" s="15">
        <v>2015</v>
      </c>
      <c r="F143" s="14" t="s">
        <v>1007</v>
      </c>
      <c r="G143" s="15" t="s">
        <v>539</v>
      </c>
      <c r="H143" s="15" t="s">
        <v>540</v>
      </c>
      <c r="I143" s="7" t="str">
        <f t="shared" si="7"/>
        <v>42.6341869</v>
      </c>
      <c r="J143" s="7">
        <f t="shared" si="8"/>
        <v>0.19492380000000001</v>
      </c>
      <c r="K143" t="s">
        <v>775</v>
      </c>
      <c r="L143" t="s">
        <v>99</v>
      </c>
      <c r="M143" t="s">
        <v>911</v>
      </c>
      <c r="N143" s="3"/>
      <c r="O143" t="s">
        <v>88</v>
      </c>
      <c r="P143" t="s">
        <v>80</v>
      </c>
      <c r="Q143" t="s">
        <v>1034</v>
      </c>
      <c r="R143" s="19" t="s">
        <v>82</v>
      </c>
    </row>
    <row r="144" spans="1:18">
      <c r="A144" s="13" t="s">
        <v>538</v>
      </c>
      <c r="B144" s="15">
        <v>9</v>
      </c>
      <c r="C144" s="15">
        <v>1</v>
      </c>
      <c r="D144" s="15" t="s">
        <v>129</v>
      </c>
      <c r="E144" s="15">
        <v>2015</v>
      </c>
      <c r="F144" s="14" t="s">
        <v>1007</v>
      </c>
      <c r="G144" s="15" t="s">
        <v>541</v>
      </c>
      <c r="H144" s="15" t="s">
        <v>542</v>
      </c>
      <c r="I144" s="7" t="str">
        <f t="shared" si="7"/>
        <v>42.58079</v>
      </c>
      <c r="J144" s="7">
        <f t="shared" si="8"/>
        <v>0.33613019999999999</v>
      </c>
      <c r="K144" t="s">
        <v>776</v>
      </c>
      <c r="L144" t="s">
        <v>99</v>
      </c>
      <c r="M144" t="s">
        <v>912</v>
      </c>
      <c r="N144" s="3"/>
      <c r="O144" t="s">
        <v>88</v>
      </c>
      <c r="P144" t="s">
        <v>80</v>
      </c>
      <c r="Q144" t="s">
        <v>1034</v>
      </c>
      <c r="R144" s="19" t="s">
        <v>82</v>
      </c>
    </row>
    <row r="145" spans="1:18">
      <c r="A145" s="13" t="s">
        <v>543</v>
      </c>
      <c r="B145" s="15">
        <v>7</v>
      </c>
      <c r="C145" s="15">
        <v>1</v>
      </c>
      <c r="D145" s="15" t="s">
        <v>36</v>
      </c>
      <c r="E145" s="15">
        <v>2015</v>
      </c>
      <c r="F145" s="14" t="s">
        <v>1007</v>
      </c>
      <c r="G145" s="15" t="s">
        <v>544</v>
      </c>
      <c r="H145" s="15" t="s">
        <v>545</v>
      </c>
      <c r="I145" s="7" t="str">
        <f t="shared" si="7"/>
        <v>42.7610304</v>
      </c>
      <c r="J145" s="7">
        <f t="shared" si="8"/>
        <v>-0.23676420000000001</v>
      </c>
      <c r="K145" t="s">
        <v>777</v>
      </c>
      <c r="L145" t="s">
        <v>99</v>
      </c>
      <c r="M145" t="s">
        <v>1004</v>
      </c>
      <c r="N145" s="3"/>
      <c r="O145" t="s">
        <v>88</v>
      </c>
      <c r="P145" t="s">
        <v>80</v>
      </c>
      <c r="Q145" t="s">
        <v>1034</v>
      </c>
      <c r="R145" s="19" t="s">
        <v>82</v>
      </c>
    </row>
    <row r="146" spans="1:18">
      <c r="A146" s="13" t="s">
        <v>543</v>
      </c>
      <c r="B146" s="15">
        <v>7</v>
      </c>
      <c r="C146" s="15">
        <v>1</v>
      </c>
      <c r="D146" s="15" t="s">
        <v>36</v>
      </c>
      <c r="E146" s="15">
        <v>2015</v>
      </c>
      <c r="F146" s="14" t="s">
        <v>1007</v>
      </c>
      <c r="G146" s="15" t="s">
        <v>546</v>
      </c>
      <c r="H146" s="15" t="s">
        <v>545</v>
      </c>
      <c r="I146" s="7" t="str">
        <f t="shared" si="7"/>
        <v>42.7610304</v>
      </c>
      <c r="J146" s="7">
        <f t="shared" si="8"/>
        <v>-0.23676420000000001</v>
      </c>
      <c r="K146" t="s">
        <v>777</v>
      </c>
      <c r="L146" t="s">
        <v>99</v>
      </c>
      <c r="M146" t="s">
        <v>913</v>
      </c>
      <c r="N146" s="3"/>
      <c r="O146" t="s">
        <v>88</v>
      </c>
      <c r="P146" t="s">
        <v>80</v>
      </c>
      <c r="Q146" t="s">
        <v>1034</v>
      </c>
      <c r="R146" s="19" t="s">
        <v>82</v>
      </c>
    </row>
    <row r="147" spans="1:18">
      <c r="A147" s="13" t="s">
        <v>547</v>
      </c>
      <c r="B147" s="15">
        <v>6</v>
      </c>
      <c r="C147" s="15">
        <v>1</v>
      </c>
      <c r="D147" s="15" t="s">
        <v>32</v>
      </c>
      <c r="E147" s="15">
        <v>2015</v>
      </c>
      <c r="F147" s="14" t="s">
        <v>1007</v>
      </c>
      <c r="G147" s="15" t="s">
        <v>548</v>
      </c>
      <c r="H147" s="15" t="s">
        <v>549</v>
      </c>
      <c r="I147" s="7" t="str">
        <f t="shared" si="7"/>
        <v>42.541121</v>
      </c>
      <c r="J147" s="7">
        <f t="shared" si="8"/>
        <v>0.1947237</v>
      </c>
      <c r="K147" t="s">
        <v>778</v>
      </c>
      <c r="L147" t="s">
        <v>99</v>
      </c>
      <c r="M147" t="s">
        <v>914</v>
      </c>
      <c r="N147" s="3"/>
      <c r="O147" t="s">
        <v>88</v>
      </c>
      <c r="P147" t="s">
        <v>80</v>
      </c>
      <c r="Q147" t="s">
        <v>1034</v>
      </c>
      <c r="R147" s="19" t="s">
        <v>82</v>
      </c>
    </row>
    <row r="148" spans="1:18">
      <c r="A148" s="13" t="s">
        <v>547</v>
      </c>
      <c r="B148" s="15">
        <v>6</v>
      </c>
      <c r="C148" s="15">
        <v>1</v>
      </c>
      <c r="D148" s="15" t="s">
        <v>32</v>
      </c>
      <c r="E148" s="15">
        <v>2015</v>
      </c>
      <c r="F148" s="14" t="s">
        <v>1007</v>
      </c>
      <c r="G148" s="15" t="s">
        <v>227</v>
      </c>
      <c r="H148" s="15" t="s">
        <v>550</v>
      </c>
      <c r="I148" s="7" t="str">
        <f t="shared" si="7"/>
        <v>42.5473753</v>
      </c>
      <c r="J148" s="7">
        <f t="shared" si="8"/>
        <v>0.13082460000000001</v>
      </c>
      <c r="K148" t="s">
        <v>779</v>
      </c>
      <c r="L148" t="s">
        <v>99</v>
      </c>
      <c r="M148" t="s">
        <v>915</v>
      </c>
      <c r="N148" s="3"/>
      <c r="O148" t="s">
        <v>88</v>
      </c>
      <c r="P148" t="s">
        <v>80</v>
      </c>
      <c r="Q148" t="s">
        <v>1034</v>
      </c>
      <c r="R148" s="19" t="s">
        <v>82</v>
      </c>
    </row>
    <row r="149" spans="1:18">
      <c r="A149" s="13" t="s">
        <v>551</v>
      </c>
      <c r="B149" s="15">
        <v>5</v>
      </c>
      <c r="C149" s="15">
        <v>1</v>
      </c>
      <c r="D149" s="15" t="s">
        <v>27</v>
      </c>
      <c r="E149" s="15">
        <v>2015</v>
      </c>
      <c r="F149" s="14" t="s">
        <v>1007</v>
      </c>
      <c r="G149" s="15" t="s">
        <v>552</v>
      </c>
      <c r="H149" s="15" t="s">
        <v>553</v>
      </c>
      <c r="I149" s="7" t="str">
        <f t="shared" si="7"/>
        <v>42.2105888</v>
      </c>
      <c r="J149" s="7">
        <f t="shared" si="8"/>
        <v>-0.29727290000000001</v>
      </c>
      <c r="K149" t="s">
        <v>780</v>
      </c>
      <c r="L149" t="s">
        <v>99</v>
      </c>
      <c r="M149" t="s">
        <v>916</v>
      </c>
      <c r="N149" s="3"/>
      <c r="O149" t="s">
        <v>88</v>
      </c>
      <c r="P149" t="s">
        <v>80</v>
      </c>
      <c r="Q149" t="s">
        <v>1034</v>
      </c>
      <c r="R149" s="19" t="s">
        <v>82</v>
      </c>
    </row>
    <row r="150" spans="1:18">
      <c r="A150" s="13" t="s">
        <v>551</v>
      </c>
      <c r="B150" s="15">
        <v>5</v>
      </c>
      <c r="C150" s="15">
        <v>1</v>
      </c>
      <c r="D150" s="15" t="s">
        <v>27</v>
      </c>
      <c r="E150" s="15">
        <v>2015</v>
      </c>
      <c r="F150" s="14" t="s">
        <v>1007</v>
      </c>
      <c r="G150" s="15" t="s">
        <v>554</v>
      </c>
      <c r="H150" s="15" t="s">
        <v>511</v>
      </c>
      <c r="I150" s="7" t="str">
        <f t="shared" si="7"/>
        <v>42.2475964</v>
      </c>
      <c r="J150" s="7">
        <f t="shared" si="8"/>
        <v>-0.28213009999999999</v>
      </c>
      <c r="K150" s="16" t="s">
        <v>781</v>
      </c>
      <c r="L150" t="s">
        <v>99</v>
      </c>
      <c r="M150" t="s">
        <v>917</v>
      </c>
      <c r="N150" s="3"/>
      <c r="O150" t="s">
        <v>994</v>
      </c>
      <c r="P150" t="s">
        <v>80</v>
      </c>
      <c r="Q150" t="s">
        <v>1034</v>
      </c>
      <c r="R150" s="19" t="s">
        <v>82</v>
      </c>
    </row>
    <row r="151" spans="1:18">
      <c r="A151" s="13" t="s">
        <v>555</v>
      </c>
      <c r="B151" s="15">
        <v>4</v>
      </c>
      <c r="C151" s="15">
        <v>1</v>
      </c>
      <c r="D151" s="15" t="s">
        <v>21</v>
      </c>
      <c r="E151" s="15">
        <v>2015</v>
      </c>
      <c r="F151" s="14" t="s">
        <v>1007</v>
      </c>
      <c r="G151" s="15" t="s">
        <v>556</v>
      </c>
      <c r="H151" s="15" t="s">
        <v>557</v>
      </c>
      <c r="I151" s="7" t="str">
        <f t="shared" si="7"/>
        <v>42.2264423</v>
      </c>
      <c r="J151" s="7">
        <f t="shared" si="8"/>
        <v>-0.35085169999999999</v>
      </c>
      <c r="K151" t="s">
        <v>782</v>
      </c>
      <c r="L151" t="s">
        <v>99</v>
      </c>
      <c r="M151" t="s">
        <v>918</v>
      </c>
      <c r="N151" s="3"/>
      <c r="O151" t="s">
        <v>994</v>
      </c>
      <c r="P151" t="s">
        <v>80</v>
      </c>
      <c r="Q151" t="s">
        <v>1034</v>
      </c>
      <c r="R151" s="19" t="s">
        <v>82</v>
      </c>
    </row>
    <row r="152" spans="1:18">
      <c r="A152" s="13" t="s">
        <v>555</v>
      </c>
      <c r="B152" s="15">
        <v>4</v>
      </c>
      <c r="C152" s="15">
        <v>1</v>
      </c>
      <c r="D152" s="15" t="s">
        <v>21</v>
      </c>
      <c r="E152" s="15">
        <v>2015</v>
      </c>
      <c r="F152" s="14" t="s">
        <v>1007</v>
      </c>
      <c r="G152" s="15" t="s">
        <v>558</v>
      </c>
      <c r="H152" s="15" t="s">
        <v>559</v>
      </c>
      <c r="I152" s="7" t="str">
        <f t="shared" si="7"/>
        <v>41.9471906</v>
      </c>
      <c r="J152" s="7">
        <f t="shared" si="8"/>
        <v>-2.4000925</v>
      </c>
      <c r="K152" t="s">
        <v>783</v>
      </c>
      <c r="L152" t="s">
        <v>99</v>
      </c>
      <c r="M152" t="s">
        <v>919</v>
      </c>
      <c r="N152" s="3"/>
      <c r="O152" t="s">
        <v>88</v>
      </c>
      <c r="P152" t="s">
        <v>80</v>
      </c>
      <c r="Q152" t="s">
        <v>1034</v>
      </c>
      <c r="R152" s="19" t="s">
        <v>334</v>
      </c>
    </row>
    <row r="153" spans="1:18">
      <c r="A153" s="13" t="s">
        <v>560</v>
      </c>
      <c r="B153" s="14">
        <v>3</v>
      </c>
      <c r="C153" s="14">
        <v>1</v>
      </c>
      <c r="D153" s="15" t="s">
        <v>15</v>
      </c>
      <c r="E153" s="14">
        <v>2015</v>
      </c>
      <c r="F153" s="14" t="s">
        <v>1007</v>
      </c>
      <c r="G153" s="15" t="s">
        <v>167</v>
      </c>
      <c r="H153" s="15" t="s">
        <v>561</v>
      </c>
      <c r="I153" s="7" t="str">
        <f t="shared" si="7"/>
        <v>42.8896747</v>
      </c>
      <c r="J153" s="7">
        <f t="shared" si="8"/>
        <v>-0.43769469999999999</v>
      </c>
      <c r="K153" t="s">
        <v>784</v>
      </c>
      <c r="L153" t="s">
        <v>99</v>
      </c>
      <c r="M153" t="s">
        <v>920</v>
      </c>
      <c r="N153" s="3"/>
      <c r="O153" t="s">
        <v>91</v>
      </c>
      <c r="P153" t="s">
        <v>80</v>
      </c>
      <c r="Q153" t="s">
        <v>1034</v>
      </c>
      <c r="R153" s="19" t="s">
        <v>315</v>
      </c>
    </row>
    <row r="154" spans="1:18">
      <c r="A154" s="13" t="s">
        <v>562</v>
      </c>
      <c r="B154" s="14">
        <v>2</v>
      </c>
      <c r="C154" s="14">
        <v>1</v>
      </c>
      <c r="D154" s="15" t="s">
        <v>10</v>
      </c>
      <c r="E154" s="14">
        <v>2015</v>
      </c>
      <c r="F154" s="14" t="s">
        <v>1007</v>
      </c>
      <c r="G154" s="15" t="s">
        <v>165</v>
      </c>
      <c r="H154" s="15" t="s">
        <v>563</v>
      </c>
      <c r="I154" s="7" t="str">
        <f t="shared" si="7"/>
        <v>41.2652796</v>
      </c>
      <c r="J154" s="7">
        <f t="shared" si="8"/>
        <v>0.90206229999999998</v>
      </c>
      <c r="K154" t="s">
        <v>785</v>
      </c>
      <c r="L154" t="s">
        <v>99</v>
      </c>
      <c r="M154" t="s">
        <v>921</v>
      </c>
      <c r="N154" s="3"/>
      <c r="O154" t="s">
        <v>89</v>
      </c>
      <c r="P154" t="s">
        <v>80</v>
      </c>
      <c r="Q154" t="s">
        <v>1034</v>
      </c>
      <c r="R154" s="19" t="s">
        <v>83</v>
      </c>
    </row>
    <row r="155" spans="1:18">
      <c r="A155" s="13" t="s">
        <v>562</v>
      </c>
      <c r="B155" s="14">
        <v>2</v>
      </c>
      <c r="C155" s="14">
        <v>1</v>
      </c>
      <c r="D155" s="15" t="s">
        <v>10</v>
      </c>
      <c r="E155" s="14">
        <v>2015</v>
      </c>
      <c r="F155" s="14" t="s">
        <v>1007</v>
      </c>
      <c r="G155" s="15" t="s">
        <v>166</v>
      </c>
      <c r="H155" s="15" t="s">
        <v>564</v>
      </c>
      <c r="I155" s="7" t="str">
        <f t="shared" si="7"/>
        <v>42.6129015</v>
      </c>
      <c r="J155" s="7">
        <f t="shared" si="8"/>
        <v>-0.20173279999999999</v>
      </c>
      <c r="K155" t="s">
        <v>786</v>
      </c>
      <c r="L155" t="s">
        <v>99</v>
      </c>
      <c r="M155" t="s">
        <v>922</v>
      </c>
      <c r="N155" s="3"/>
      <c r="O155" t="s">
        <v>88</v>
      </c>
      <c r="P155" t="s">
        <v>993</v>
      </c>
      <c r="Q155" t="s">
        <v>1034</v>
      </c>
      <c r="R155" s="19" t="s">
        <v>82</v>
      </c>
    </row>
    <row r="156" spans="1:18">
      <c r="A156" s="13" t="s">
        <v>565</v>
      </c>
      <c r="B156" s="15">
        <v>1</v>
      </c>
      <c r="C156" s="15">
        <v>1</v>
      </c>
      <c r="D156" s="15" t="s">
        <v>6</v>
      </c>
      <c r="E156" s="15">
        <v>2015</v>
      </c>
      <c r="F156" s="14" t="s">
        <v>1007</v>
      </c>
      <c r="G156" s="15" t="s">
        <v>566</v>
      </c>
      <c r="H156" s="15" t="s">
        <v>567</v>
      </c>
      <c r="I156" s="7" t="str">
        <f t="shared" si="7"/>
        <v>42.7964199</v>
      </c>
      <c r="J156" s="7">
        <f t="shared" si="8"/>
        <v>-0.53521790000000002</v>
      </c>
      <c r="K156" t="s">
        <v>787</v>
      </c>
      <c r="L156" t="s">
        <v>99</v>
      </c>
      <c r="M156" t="s">
        <v>923</v>
      </c>
      <c r="N156" s="3"/>
      <c r="O156" t="s">
        <v>88</v>
      </c>
      <c r="P156" t="s">
        <v>995</v>
      </c>
      <c r="Q156" t="s">
        <v>1034</v>
      </c>
      <c r="R156" s="19" t="s">
        <v>82</v>
      </c>
    </row>
    <row r="157" spans="1:18">
      <c r="A157" s="13" t="s">
        <v>565</v>
      </c>
      <c r="B157" s="15">
        <v>1</v>
      </c>
      <c r="C157" s="15">
        <v>1</v>
      </c>
      <c r="D157" s="15" t="s">
        <v>6</v>
      </c>
      <c r="E157" s="15">
        <v>2015</v>
      </c>
      <c r="F157" s="14" t="s">
        <v>1007</v>
      </c>
      <c r="G157" s="15" t="s">
        <v>568</v>
      </c>
      <c r="H157" s="15" t="s">
        <v>569</v>
      </c>
      <c r="I157" s="7" t="str">
        <f t="shared" si="7"/>
        <v>41.0680629</v>
      </c>
      <c r="J157" s="7">
        <f t="shared" si="8"/>
        <v>-0.56035999999999997</v>
      </c>
      <c r="K157" t="s">
        <v>788</v>
      </c>
      <c r="L157" t="s">
        <v>99</v>
      </c>
      <c r="M157" t="s">
        <v>924</v>
      </c>
      <c r="N157" s="3"/>
      <c r="O157" t="s">
        <v>88</v>
      </c>
      <c r="P157" t="s">
        <v>80</v>
      </c>
      <c r="Q157" t="s">
        <v>1034</v>
      </c>
      <c r="R157" s="19" t="s">
        <v>285</v>
      </c>
    </row>
    <row r="158" spans="1:18">
      <c r="A158" s="13" t="s">
        <v>570</v>
      </c>
      <c r="B158" s="14">
        <v>12</v>
      </c>
      <c r="C158" s="14">
        <v>1</v>
      </c>
      <c r="D158" s="15" t="s">
        <v>121</v>
      </c>
      <c r="E158" s="14">
        <v>2014</v>
      </c>
      <c r="F158" s="14" t="s">
        <v>1007</v>
      </c>
      <c r="G158" s="15" t="s">
        <v>164</v>
      </c>
      <c r="H158" s="15" t="s">
        <v>571</v>
      </c>
      <c r="I158" s="7" t="str">
        <f t="shared" si="7"/>
        <v>42.1719592</v>
      </c>
      <c r="J158" s="7">
        <f t="shared" si="8"/>
        <v>6.2604499999999993E-2</v>
      </c>
      <c r="K158" t="s">
        <v>789</v>
      </c>
      <c r="L158" t="s">
        <v>99</v>
      </c>
      <c r="M158" t="s">
        <v>925</v>
      </c>
      <c r="N158" s="3"/>
      <c r="O158" t="s">
        <v>88</v>
      </c>
      <c r="P158" t="s">
        <v>80</v>
      </c>
      <c r="Q158" t="s">
        <v>1034</v>
      </c>
      <c r="R158" s="19" t="s">
        <v>82</v>
      </c>
    </row>
    <row r="159" spans="1:18">
      <c r="A159" s="13" t="s">
        <v>572</v>
      </c>
      <c r="B159" s="15">
        <v>11</v>
      </c>
      <c r="C159" s="15">
        <v>1</v>
      </c>
      <c r="D159" s="15" t="s">
        <v>56</v>
      </c>
      <c r="E159" s="15">
        <v>2014</v>
      </c>
      <c r="F159" s="14" t="s">
        <v>1007</v>
      </c>
      <c r="G159" s="15" t="s">
        <v>573</v>
      </c>
      <c r="H159" s="15" t="s">
        <v>574</v>
      </c>
      <c r="I159" s="7" t="str">
        <f t="shared" si="7"/>
        <v>42.4299008</v>
      </c>
      <c r="J159" s="7">
        <f t="shared" si="8"/>
        <v>6.9404099999999996E-2</v>
      </c>
      <c r="K159" t="s">
        <v>790</v>
      </c>
      <c r="L159" t="s">
        <v>99</v>
      </c>
      <c r="M159" t="s">
        <v>926</v>
      </c>
      <c r="N159" s="3"/>
      <c r="O159" t="s">
        <v>89</v>
      </c>
      <c r="P159" t="s">
        <v>80</v>
      </c>
      <c r="Q159" t="s">
        <v>1034</v>
      </c>
      <c r="R159" s="19" t="s">
        <v>82</v>
      </c>
    </row>
    <row r="160" spans="1:18">
      <c r="A160" s="13" t="s">
        <v>572</v>
      </c>
      <c r="B160" s="15">
        <v>11</v>
      </c>
      <c r="C160" s="15">
        <v>1</v>
      </c>
      <c r="D160" s="15" t="s">
        <v>56</v>
      </c>
      <c r="E160" s="15">
        <v>2014</v>
      </c>
      <c r="F160" s="14" t="s">
        <v>1007</v>
      </c>
      <c r="G160" s="15" t="s">
        <v>575</v>
      </c>
      <c r="H160" s="15" t="s">
        <v>54</v>
      </c>
      <c r="I160" s="7" t="str">
        <f t="shared" si="7"/>
        <v>42.4132913</v>
      </c>
      <c r="J160" s="7">
        <f t="shared" si="8"/>
        <v>-0.1197907</v>
      </c>
      <c r="K160" t="s">
        <v>791</v>
      </c>
      <c r="L160" t="s">
        <v>99</v>
      </c>
      <c r="M160" t="s">
        <v>896</v>
      </c>
      <c r="N160" s="3"/>
      <c r="O160" t="s">
        <v>89</v>
      </c>
      <c r="P160" t="s">
        <v>80</v>
      </c>
      <c r="Q160" t="s">
        <v>1034</v>
      </c>
      <c r="R160" s="19" t="s">
        <v>82</v>
      </c>
    </row>
    <row r="161" spans="1:18">
      <c r="A161" s="13" t="s">
        <v>576</v>
      </c>
      <c r="B161" s="14">
        <v>10</v>
      </c>
      <c r="C161" s="14">
        <v>1</v>
      </c>
      <c r="D161" s="15" t="s">
        <v>46</v>
      </c>
      <c r="E161" s="14">
        <v>2014</v>
      </c>
      <c r="F161" s="14" t="s">
        <v>1007</v>
      </c>
      <c r="G161" s="15" t="s">
        <v>163</v>
      </c>
      <c r="H161" s="15" t="s">
        <v>577</v>
      </c>
      <c r="I161" s="7" t="str">
        <f t="shared" si="7"/>
        <v>42.6360589</v>
      </c>
      <c r="J161" s="7">
        <f t="shared" si="8"/>
        <v>-1.1760128999999999</v>
      </c>
      <c r="K161" t="s">
        <v>792</v>
      </c>
      <c r="L161" t="s">
        <v>99</v>
      </c>
      <c r="M161" t="s">
        <v>927</v>
      </c>
      <c r="N161" s="3"/>
      <c r="O161" t="s">
        <v>88</v>
      </c>
      <c r="P161" t="s">
        <v>80</v>
      </c>
      <c r="Q161" t="s">
        <v>1034</v>
      </c>
      <c r="R161" s="19" t="s">
        <v>86</v>
      </c>
    </row>
    <row r="162" spans="1:18">
      <c r="A162" s="13" t="s">
        <v>578</v>
      </c>
      <c r="B162" s="15">
        <v>9</v>
      </c>
      <c r="C162" s="15">
        <v>1</v>
      </c>
      <c r="D162" s="15" t="s">
        <v>129</v>
      </c>
      <c r="E162" s="15">
        <v>2014</v>
      </c>
      <c r="F162" s="14" t="s">
        <v>1007</v>
      </c>
      <c r="G162" s="15" t="s">
        <v>579</v>
      </c>
      <c r="H162" s="15" t="s">
        <v>580</v>
      </c>
      <c r="I162" s="7" t="str">
        <f t="shared" si="7"/>
        <v>42.6794885</v>
      </c>
      <c r="J162" s="7">
        <f t="shared" si="8"/>
        <v>8.2242499999999996E-2</v>
      </c>
      <c r="K162" t="s">
        <v>793</v>
      </c>
      <c r="L162" t="s">
        <v>99</v>
      </c>
      <c r="M162" t="s">
        <v>928</v>
      </c>
      <c r="N162" s="3"/>
      <c r="O162" t="s">
        <v>88</v>
      </c>
      <c r="P162" t="s">
        <v>80</v>
      </c>
      <c r="Q162" t="s">
        <v>1034</v>
      </c>
      <c r="R162" s="19" t="s">
        <v>82</v>
      </c>
    </row>
    <row r="163" spans="1:18">
      <c r="A163" s="13" t="s">
        <v>578</v>
      </c>
      <c r="B163" s="15">
        <v>9</v>
      </c>
      <c r="C163" s="15">
        <v>1</v>
      </c>
      <c r="D163" s="15" t="s">
        <v>129</v>
      </c>
      <c r="E163" s="15">
        <v>2014</v>
      </c>
      <c r="F163" s="14" t="s">
        <v>1007</v>
      </c>
      <c r="G163" s="15" t="s">
        <v>581</v>
      </c>
      <c r="H163" s="15" t="s">
        <v>580</v>
      </c>
      <c r="I163" s="7" t="str">
        <f t="shared" si="7"/>
        <v>42.6794885</v>
      </c>
      <c r="J163" s="7">
        <f t="shared" si="8"/>
        <v>8.2242499999999996E-2</v>
      </c>
      <c r="K163" t="s">
        <v>793</v>
      </c>
      <c r="L163" t="s">
        <v>99</v>
      </c>
      <c r="M163" t="s">
        <v>929</v>
      </c>
      <c r="N163" s="3"/>
      <c r="O163" t="s">
        <v>88</v>
      </c>
      <c r="P163" t="s">
        <v>80</v>
      </c>
      <c r="Q163" t="s">
        <v>1034</v>
      </c>
      <c r="R163" s="19" t="s">
        <v>82</v>
      </c>
    </row>
    <row r="164" spans="1:18">
      <c r="A164" s="13" t="s">
        <v>582</v>
      </c>
      <c r="B164" s="14">
        <v>7</v>
      </c>
      <c r="C164" s="14">
        <v>1</v>
      </c>
      <c r="D164" s="15" t="s">
        <v>36</v>
      </c>
      <c r="E164" s="14">
        <v>2014</v>
      </c>
      <c r="F164" s="14" t="s">
        <v>1007</v>
      </c>
      <c r="G164" s="15" t="s">
        <v>162</v>
      </c>
      <c r="H164" s="15" t="s">
        <v>545</v>
      </c>
      <c r="I164" s="7" t="str">
        <f t="shared" si="7"/>
        <v>42.7610304</v>
      </c>
      <c r="J164" s="7">
        <f t="shared" si="8"/>
        <v>-0.23676420000000001</v>
      </c>
      <c r="K164" t="s">
        <v>794</v>
      </c>
      <c r="L164" t="s">
        <v>99</v>
      </c>
      <c r="M164" t="s">
        <v>930</v>
      </c>
      <c r="N164" s="3"/>
      <c r="O164" t="s">
        <v>88</v>
      </c>
      <c r="P164" t="s">
        <v>80</v>
      </c>
      <c r="Q164" t="s">
        <v>1034</v>
      </c>
      <c r="R164" s="19" t="s">
        <v>82</v>
      </c>
    </row>
    <row r="165" spans="1:18">
      <c r="A165" s="13" t="s">
        <v>583</v>
      </c>
      <c r="B165" s="14">
        <v>6</v>
      </c>
      <c r="C165" s="14">
        <v>1</v>
      </c>
      <c r="D165" s="15" t="s">
        <v>32</v>
      </c>
      <c r="E165" s="14">
        <v>2014</v>
      </c>
      <c r="F165" s="14" t="s">
        <v>1007</v>
      </c>
      <c r="G165" s="15" t="s">
        <v>161</v>
      </c>
      <c r="H165" s="15" t="s">
        <v>584</v>
      </c>
      <c r="I165" s="7" t="str">
        <f t="shared" si="7"/>
        <v>42.5335876</v>
      </c>
      <c r="J165" s="7">
        <f t="shared" si="8"/>
        <v>0.21614739999999999</v>
      </c>
      <c r="K165" t="s">
        <v>795</v>
      </c>
      <c r="L165" t="s">
        <v>99</v>
      </c>
      <c r="M165" t="s">
        <v>931</v>
      </c>
      <c r="N165" s="3"/>
      <c r="O165" t="s">
        <v>88</v>
      </c>
      <c r="P165" t="s">
        <v>80</v>
      </c>
      <c r="Q165" t="s">
        <v>1034</v>
      </c>
      <c r="R165" s="19" t="s">
        <v>82</v>
      </c>
    </row>
    <row r="166" spans="1:18">
      <c r="A166" s="13" t="s">
        <v>585</v>
      </c>
      <c r="B166" s="14">
        <v>5</v>
      </c>
      <c r="C166" s="14">
        <v>1</v>
      </c>
      <c r="D166" s="15" t="s">
        <v>27</v>
      </c>
      <c r="E166" s="14">
        <v>2014</v>
      </c>
      <c r="F166" s="14" t="s">
        <v>1007</v>
      </c>
      <c r="G166" s="15" t="s">
        <v>160</v>
      </c>
      <c r="H166" s="15" t="s">
        <v>586</v>
      </c>
      <c r="I166" s="7" t="str">
        <f t="shared" si="7"/>
        <v>42.3220056</v>
      </c>
      <c r="J166" s="7">
        <f t="shared" si="8"/>
        <v>-0.25697730000000002</v>
      </c>
      <c r="K166" t="s">
        <v>796</v>
      </c>
      <c r="L166" t="s">
        <v>99</v>
      </c>
      <c r="M166" s="10" t="s">
        <v>932</v>
      </c>
      <c r="N166" s="3"/>
      <c r="O166" t="s">
        <v>91</v>
      </c>
      <c r="P166" t="s">
        <v>80</v>
      </c>
      <c r="Q166" t="s">
        <v>1034</v>
      </c>
      <c r="R166" s="19" t="s">
        <v>82</v>
      </c>
    </row>
    <row r="167" spans="1:18">
      <c r="A167" s="13" t="s">
        <v>585</v>
      </c>
      <c r="B167" s="14">
        <v>5</v>
      </c>
      <c r="C167" s="14">
        <v>1</v>
      </c>
      <c r="D167" s="15" t="s">
        <v>27</v>
      </c>
      <c r="E167" s="14">
        <v>2014</v>
      </c>
      <c r="F167" s="14" t="s">
        <v>1007</v>
      </c>
      <c r="G167" s="15" t="s">
        <v>587</v>
      </c>
      <c r="H167" s="15" t="s">
        <v>588</v>
      </c>
      <c r="I167" s="7" t="str">
        <f t="shared" si="7"/>
        <v>41.7969259</v>
      </c>
      <c r="J167" s="7">
        <f t="shared" si="8"/>
        <v>-0.6173497</v>
      </c>
      <c r="K167" t="s">
        <v>797</v>
      </c>
      <c r="L167" t="s">
        <v>99</v>
      </c>
      <c r="M167" s="10" t="s">
        <v>933</v>
      </c>
      <c r="N167" s="3"/>
      <c r="O167" t="s">
        <v>91</v>
      </c>
      <c r="P167" t="s">
        <v>80</v>
      </c>
      <c r="Q167" t="s">
        <v>1034</v>
      </c>
      <c r="R167" s="19" t="s">
        <v>85</v>
      </c>
    </row>
    <row r="168" spans="1:18">
      <c r="A168" s="13" t="s">
        <v>585</v>
      </c>
      <c r="B168" s="14">
        <v>5</v>
      </c>
      <c r="C168" s="14">
        <v>1</v>
      </c>
      <c r="D168" s="15" t="s">
        <v>27</v>
      </c>
      <c r="E168" s="14">
        <v>2014</v>
      </c>
      <c r="F168" s="14" t="s">
        <v>1007</v>
      </c>
      <c r="G168" s="15" t="s">
        <v>589</v>
      </c>
      <c r="H168" s="15" t="s">
        <v>400</v>
      </c>
      <c r="I168" s="7" t="str">
        <f t="shared" si="7"/>
        <v>42.2623316</v>
      </c>
      <c r="J168" s="7">
        <f t="shared" si="8"/>
        <v>-0.4062867</v>
      </c>
      <c r="K168" t="s">
        <v>798</v>
      </c>
      <c r="L168" t="s">
        <v>99</v>
      </c>
      <c r="M168" t="s">
        <v>934</v>
      </c>
      <c r="N168" s="3"/>
      <c r="O168" t="s">
        <v>91</v>
      </c>
      <c r="P168" t="s">
        <v>80</v>
      </c>
      <c r="Q168" t="s">
        <v>1034</v>
      </c>
      <c r="R168" s="19" t="s">
        <v>82</v>
      </c>
    </row>
    <row r="169" spans="1:18">
      <c r="A169" s="13" t="s">
        <v>590</v>
      </c>
      <c r="B169" s="14">
        <v>4</v>
      </c>
      <c r="C169" s="14">
        <v>1</v>
      </c>
      <c r="D169" s="15" t="s">
        <v>21</v>
      </c>
      <c r="E169" s="14">
        <v>2014</v>
      </c>
      <c r="F169" s="14" t="s">
        <v>1007</v>
      </c>
      <c r="G169" s="15" t="s">
        <v>591</v>
      </c>
      <c r="H169" s="15" t="s">
        <v>592</v>
      </c>
      <c r="I169" s="7" t="str">
        <f t="shared" si="7"/>
        <v>42.0741103</v>
      </c>
      <c r="J169" s="7">
        <f t="shared" si="8"/>
        <v>0.62387959999999998</v>
      </c>
      <c r="K169" t="s">
        <v>799</v>
      </c>
      <c r="L169" t="s">
        <v>99</v>
      </c>
      <c r="M169" t="s">
        <v>935</v>
      </c>
      <c r="N169" s="3"/>
      <c r="O169" t="s">
        <v>88</v>
      </c>
      <c r="P169" t="s">
        <v>80</v>
      </c>
      <c r="Q169" t="s">
        <v>1034</v>
      </c>
      <c r="R169" s="19" t="s">
        <v>82</v>
      </c>
    </row>
    <row r="170" spans="1:18">
      <c r="A170" s="13" t="s">
        <v>590</v>
      </c>
      <c r="B170" s="14">
        <v>4</v>
      </c>
      <c r="C170" s="14">
        <v>1</v>
      </c>
      <c r="D170" s="15" t="s">
        <v>21</v>
      </c>
      <c r="E170" s="14">
        <v>2014</v>
      </c>
      <c r="F170" s="14" t="s">
        <v>1007</v>
      </c>
      <c r="G170" s="15" t="s">
        <v>593</v>
      </c>
      <c r="H170" s="15" t="s">
        <v>594</v>
      </c>
      <c r="I170" s="7" t="str">
        <f t="shared" si="7"/>
        <v>42.0521167</v>
      </c>
      <c r="J170" s="7">
        <f t="shared" si="8"/>
        <v>0.65281750000000005</v>
      </c>
      <c r="K170" t="s">
        <v>800</v>
      </c>
      <c r="L170" t="s">
        <v>99</v>
      </c>
      <c r="M170" t="s">
        <v>936</v>
      </c>
      <c r="N170" s="3"/>
      <c r="O170" t="s">
        <v>88</v>
      </c>
      <c r="P170" t="s">
        <v>80</v>
      </c>
      <c r="Q170" t="s">
        <v>1034</v>
      </c>
      <c r="R170" s="19" t="s">
        <v>82</v>
      </c>
    </row>
    <row r="171" spans="1:18">
      <c r="A171" s="13" t="s">
        <v>595</v>
      </c>
      <c r="B171" s="14">
        <v>3</v>
      </c>
      <c r="C171" s="14">
        <v>1</v>
      </c>
      <c r="D171" s="15" t="s">
        <v>15</v>
      </c>
      <c r="E171" s="14">
        <v>2014</v>
      </c>
      <c r="F171" s="14" t="s">
        <v>1007</v>
      </c>
      <c r="G171" s="15" t="s">
        <v>159</v>
      </c>
      <c r="H171" s="15" t="s">
        <v>424</v>
      </c>
      <c r="I171" s="7" t="str">
        <f t="shared" si="7"/>
        <v>41.7904033</v>
      </c>
      <c r="J171" s="7">
        <f t="shared" si="8"/>
        <v>-1.8201556999999999</v>
      </c>
      <c r="K171" t="s">
        <v>801</v>
      </c>
      <c r="L171" t="s">
        <v>99</v>
      </c>
      <c r="M171" t="s">
        <v>937</v>
      </c>
      <c r="N171" s="3"/>
      <c r="O171" t="s">
        <v>88</v>
      </c>
      <c r="P171" t="s">
        <v>993</v>
      </c>
      <c r="Q171" t="s">
        <v>1034</v>
      </c>
      <c r="R171" s="19" t="s">
        <v>85</v>
      </c>
    </row>
    <row r="172" spans="1:18">
      <c r="A172" s="13" t="s">
        <v>596</v>
      </c>
      <c r="B172" s="14">
        <v>2</v>
      </c>
      <c r="C172" s="14">
        <v>1</v>
      </c>
      <c r="D172" s="15" t="s">
        <v>10</v>
      </c>
      <c r="E172" s="14">
        <v>2014</v>
      </c>
      <c r="F172" s="14" t="s">
        <v>1007</v>
      </c>
      <c r="G172" s="15" t="s">
        <v>158</v>
      </c>
      <c r="H172" s="15" t="s">
        <v>597</v>
      </c>
      <c r="I172" s="7" t="str">
        <f t="shared" si="7"/>
        <v>42.6533215</v>
      </c>
      <c r="J172" s="7">
        <f t="shared" si="8"/>
        <v>-0.1054061</v>
      </c>
      <c r="K172" t="s">
        <v>802</v>
      </c>
      <c r="L172" t="s">
        <v>99</v>
      </c>
      <c r="M172" t="s">
        <v>938</v>
      </c>
      <c r="N172" s="3"/>
      <c r="O172" t="s">
        <v>88</v>
      </c>
      <c r="P172" t="s">
        <v>993</v>
      </c>
      <c r="Q172" t="s">
        <v>1034</v>
      </c>
      <c r="R172" s="19" t="s">
        <v>82</v>
      </c>
    </row>
    <row r="173" spans="1:18">
      <c r="A173" s="13" t="s">
        <v>598</v>
      </c>
      <c r="B173" s="14">
        <v>1</v>
      </c>
      <c r="C173" s="14">
        <v>1</v>
      </c>
      <c r="D173" s="15" t="s">
        <v>6</v>
      </c>
      <c r="E173" s="14">
        <v>2014</v>
      </c>
      <c r="F173" s="14" t="s">
        <v>1007</v>
      </c>
      <c r="G173" s="15" t="s">
        <v>157</v>
      </c>
      <c r="H173" s="15" t="s">
        <v>599</v>
      </c>
      <c r="I173" s="7" t="str">
        <f t="shared" si="7"/>
        <v>42.3877444</v>
      </c>
      <c r="J173" s="7">
        <f t="shared" si="8"/>
        <v>-0.93820729999999997</v>
      </c>
      <c r="K173" t="s">
        <v>803</v>
      </c>
      <c r="L173" t="s">
        <v>99</v>
      </c>
      <c r="M173" t="s">
        <v>939</v>
      </c>
      <c r="N173" s="3"/>
      <c r="O173" t="s">
        <v>88</v>
      </c>
      <c r="P173" t="s">
        <v>80</v>
      </c>
      <c r="Q173" t="s">
        <v>1034</v>
      </c>
      <c r="R173" s="19" t="s">
        <v>85</v>
      </c>
    </row>
    <row r="174" spans="1:18">
      <c r="A174" s="13" t="s">
        <v>600</v>
      </c>
      <c r="B174" s="14">
        <v>12</v>
      </c>
      <c r="C174" s="14">
        <v>1</v>
      </c>
      <c r="D174" s="15" t="s">
        <v>121</v>
      </c>
      <c r="E174" s="14">
        <v>2013</v>
      </c>
      <c r="F174" s="14" t="s">
        <v>1007</v>
      </c>
      <c r="G174" s="15" t="s">
        <v>156</v>
      </c>
      <c r="H174" s="15" t="s">
        <v>601</v>
      </c>
      <c r="I174" s="7" t="str">
        <f t="shared" si="7"/>
        <v>41.0862168</v>
      </c>
      <c r="J174" s="7">
        <f t="shared" si="8"/>
        <v>-1.2172527</v>
      </c>
      <c r="K174" t="s">
        <v>804</v>
      </c>
      <c r="L174" t="s">
        <v>99</v>
      </c>
      <c r="M174" t="s">
        <v>940</v>
      </c>
      <c r="N174" s="3"/>
      <c r="O174" t="s">
        <v>88</v>
      </c>
      <c r="P174" t="s">
        <v>80</v>
      </c>
      <c r="Q174" t="s">
        <v>1034</v>
      </c>
      <c r="R174" s="19" t="s">
        <v>285</v>
      </c>
    </row>
    <row r="175" spans="1:18">
      <c r="A175" s="13" t="s">
        <v>602</v>
      </c>
      <c r="B175" s="14">
        <v>11</v>
      </c>
      <c r="C175" s="14">
        <v>1</v>
      </c>
      <c r="D175" s="15" t="s">
        <v>56</v>
      </c>
      <c r="E175" s="14">
        <v>2013</v>
      </c>
      <c r="F175" s="14" t="s">
        <v>1007</v>
      </c>
      <c r="G175" s="15" t="s">
        <v>155</v>
      </c>
      <c r="H175" s="15" t="s">
        <v>497</v>
      </c>
      <c r="I175" s="7" t="str">
        <f t="shared" si="7"/>
        <v>42.8979454</v>
      </c>
      <c r="J175" s="7">
        <f t="shared" si="8"/>
        <v>-0.80211480000000002</v>
      </c>
      <c r="K175" t="s">
        <v>805</v>
      </c>
      <c r="L175" t="s">
        <v>99</v>
      </c>
      <c r="M175" t="s">
        <v>941</v>
      </c>
      <c r="N175" s="3"/>
      <c r="O175" t="s">
        <v>88</v>
      </c>
      <c r="P175" t="s">
        <v>80</v>
      </c>
      <c r="Q175" t="s">
        <v>1034</v>
      </c>
      <c r="R175" s="19" t="s">
        <v>82</v>
      </c>
    </row>
    <row r="176" spans="1:18">
      <c r="A176" s="13" t="s">
        <v>603</v>
      </c>
      <c r="B176" s="14">
        <v>10</v>
      </c>
      <c r="C176" s="14">
        <v>1</v>
      </c>
      <c r="D176" s="15" t="s">
        <v>46</v>
      </c>
      <c r="E176" s="14">
        <v>2013</v>
      </c>
      <c r="F176" s="14" t="s">
        <v>1007</v>
      </c>
      <c r="G176" s="15" t="s">
        <v>154</v>
      </c>
      <c r="H176" s="15" t="s">
        <v>604</v>
      </c>
      <c r="I176" s="7" t="str">
        <f t="shared" si="7"/>
        <v>42.2595186</v>
      </c>
      <c r="J176" s="7">
        <f t="shared" si="8"/>
        <v>2.2766399999999999E-2</v>
      </c>
      <c r="K176" t="s">
        <v>806</v>
      </c>
      <c r="L176" t="s">
        <v>99</v>
      </c>
      <c r="M176" t="s">
        <v>942</v>
      </c>
      <c r="N176" s="3"/>
      <c r="O176" t="s">
        <v>88</v>
      </c>
      <c r="P176" t="s">
        <v>80</v>
      </c>
      <c r="Q176" t="s">
        <v>1034</v>
      </c>
      <c r="R176" s="19" t="s">
        <v>82</v>
      </c>
    </row>
    <row r="177" spans="1:18">
      <c r="A177" s="13" t="s">
        <v>607</v>
      </c>
      <c r="B177" s="14">
        <v>9</v>
      </c>
      <c r="C177" s="14">
        <v>1</v>
      </c>
      <c r="D177" s="15" t="s">
        <v>129</v>
      </c>
      <c r="E177" s="14">
        <v>2013</v>
      </c>
      <c r="F177" s="14" t="s">
        <v>1007</v>
      </c>
      <c r="G177" s="15" t="s">
        <v>605</v>
      </c>
      <c r="H177" s="15" t="s">
        <v>606</v>
      </c>
      <c r="I177" s="7" t="str">
        <f t="shared" si="7"/>
        <v>42.6847791</v>
      </c>
      <c r="J177" s="7">
        <f t="shared" si="8"/>
        <v>0.60203200000000001</v>
      </c>
      <c r="K177" t="s">
        <v>807</v>
      </c>
      <c r="L177" t="s">
        <v>99</v>
      </c>
      <c r="M177" t="s">
        <v>943</v>
      </c>
      <c r="N177" s="3"/>
      <c r="O177" t="s">
        <v>88</v>
      </c>
      <c r="P177" t="s">
        <v>302</v>
      </c>
      <c r="Q177" t="s">
        <v>1034</v>
      </c>
      <c r="R177" s="19" t="s">
        <v>82</v>
      </c>
    </row>
    <row r="178" spans="1:18">
      <c r="A178" s="13" t="s">
        <v>607</v>
      </c>
      <c r="B178" s="14">
        <v>9</v>
      </c>
      <c r="C178" s="14">
        <v>1</v>
      </c>
      <c r="D178" s="15" t="s">
        <v>129</v>
      </c>
      <c r="E178" s="14">
        <v>2013</v>
      </c>
      <c r="F178" s="14" t="s">
        <v>1007</v>
      </c>
      <c r="G178" s="15" t="s">
        <v>153</v>
      </c>
      <c r="H178" s="15" t="s">
        <v>606</v>
      </c>
      <c r="I178" s="7" t="str">
        <f t="shared" si="7"/>
        <v>42.6847791</v>
      </c>
      <c r="J178" s="7">
        <f t="shared" si="8"/>
        <v>0.60203200000000001</v>
      </c>
      <c r="K178" t="s">
        <v>807</v>
      </c>
      <c r="L178" t="s">
        <v>99</v>
      </c>
      <c r="M178" t="s">
        <v>944</v>
      </c>
      <c r="N178" s="3"/>
      <c r="O178" t="s">
        <v>88</v>
      </c>
      <c r="P178" t="s">
        <v>302</v>
      </c>
      <c r="Q178" t="s">
        <v>1034</v>
      </c>
      <c r="R178" s="19" t="s">
        <v>82</v>
      </c>
    </row>
    <row r="179" spans="1:18">
      <c r="A179" s="13" t="s">
        <v>611</v>
      </c>
      <c r="B179" s="14">
        <v>7</v>
      </c>
      <c r="C179" s="14">
        <v>1</v>
      </c>
      <c r="D179" s="15" t="s">
        <v>36</v>
      </c>
      <c r="E179" s="14">
        <v>2013</v>
      </c>
      <c r="F179" s="14" t="s">
        <v>1007</v>
      </c>
      <c r="G179" s="15" t="s">
        <v>608</v>
      </c>
      <c r="H179" s="15" t="s">
        <v>609</v>
      </c>
      <c r="I179" s="7" t="str">
        <f t="shared" si="7"/>
        <v>42.7799463</v>
      </c>
      <c r="J179" s="7">
        <f t="shared" si="8"/>
        <v>-0.23010449999999999</v>
      </c>
      <c r="K179" t="s">
        <v>808</v>
      </c>
      <c r="L179" t="s">
        <v>99</v>
      </c>
      <c r="M179" t="s">
        <v>945</v>
      </c>
      <c r="N179" s="3"/>
      <c r="O179" t="s">
        <v>88</v>
      </c>
      <c r="P179" t="s">
        <v>80</v>
      </c>
      <c r="Q179" t="s">
        <v>1034</v>
      </c>
      <c r="R179" s="19" t="s">
        <v>82</v>
      </c>
    </row>
    <row r="180" spans="1:18">
      <c r="A180" s="13" t="s">
        <v>611</v>
      </c>
      <c r="B180" s="14">
        <v>7</v>
      </c>
      <c r="C180" s="14">
        <v>1</v>
      </c>
      <c r="D180" s="15" t="s">
        <v>36</v>
      </c>
      <c r="E180" s="14">
        <v>2013</v>
      </c>
      <c r="F180" s="14" t="s">
        <v>1007</v>
      </c>
      <c r="G180" s="15" t="s">
        <v>610</v>
      </c>
      <c r="H180" s="15" t="s">
        <v>609</v>
      </c>
      <c r="I180" s="7" t="str">
        <f t="shared" si="7"/>
        <v>42.7799463</v>
      </c>
      <c r="J180" s="7">
        <f t="shared" si="8"/>
        <v>-0.23010449999999999</v>
      </c>
      <c r="K180" t="s">
        <v>808</v>
      </c>
      <c r="L180" t="s">
        <v>99</v>
      </c>
      <c r="M180" t="s">
        <v>946</v>
      </c>
      <c r="N180" s="3"/>
      <c r="O180" t="s">
        <v>88</v>
      </c>
      <c r="P180" t="s">
        <v>80</v>
      </c>
      <c r="Q180" t="s">
        <v>1034</v>
      </c>
      <c r="R180" s="19" t="s">
        <v>82</v>
      </c>
    </row>
    <row r="181" spans="1:18">
      <c r="A181" s="13" t="s">
        <v>611</v>
      </c>
      <c r="B181" s="14">
        <v>7</v>
      </c>
      <c r="C181" s="14">
        <v>1</v>
      </c>
      <c r="D181" s="15" t="s">
        <v>36</v>
      </c>
      <c r="E181" s="14">
        <v>2013</v>
      </c>
      <c r="F181" s="14" t="s">
        <v>1007</v>
      </c>
      <c r="G181" s="15" t="s">
        <v>612</v>
      </c>
      <c r="H181" s="15" t="s">
        <v>609</v>
      </c>
      <c r="I181" s="7" t="str">
        <f t="shared" si="7"/>
        <v>42.7799463</v>
      </c>
      <c r="J181" s="7">
        <f t="shared" si="8"/>
        <v>-0.23010449999999999</v>
      </c>
      <c r="K181" t="s">
        <v>808</v>
      </c>
      <c r="L181" t="s">
        <v>99</v>
      </c>
      <c r="M181" t="s">
        <v>947</v>
      </c>
      <c r="N181" s="3"/>
      <c r="O181" t="s">
        <v>88</v>
      </c>
      <c r="P181" t="s">
        <v>80</v>
      </c>
      <c r="Q181" t="s">
        <v>1034</v>
      </c>
      <c r="R181" s="19" t="s">
        <v>82</v>
      </c>
    </row>
    <row r="182" spans="1:18">
      <c r="A182" s="13" t="s">
        <v>613</v>
      </c>
      <c r="B182" s="14">
        <v>6</v>
      </c>
      <c r="C182" s="14">
        <v>1</v>
      </c>
      <c r="D182" s="15" t="s">
        <v>32</v>
      </c>
      <c r="E182" s="14">
        <v>2013</v>
      </c>
      <c r="F182" s="14" t="s">
        <v>1007</v>
      </c>
      <c r="G182" s="15" t="s">
        <v>152</v>
      </c>
      <c r="H182" s="15" t="s">
        <v>614</v>
      </c>
      <c r="I182" s="7" t="str">
        <f t="shared" si="7"/>
        <v>42.4534707</v>
      </c>
      <c r="J182" s="7">
        <f t="shared" si="8"/>
        <v>0.21528269999999999</v>
      </c>
      <c r="K182" t="s">
        <v>809</v>
      </c>
      <c r="L182" t="s">
        <v>99</v>
      </c>
      <c r="M182" t="s">
        <v>948</v>
      </c>
      <c r="N182" s="3"/>
      <c r="O182" t="s">
        <v>88</v>
      </c>
      <c r="P182" t="s">
        <v>80</v>
      </c>
      <c r="Q182" t="s">
        <v>1034</v>
      </c>
      <c r="R182" s="19" t="s">
        <v>82</v>
      </c>
    </row>
    <row r="183" spans="1:18">
      <c r="A183" s="13" t="s">
        <v>615</v>
      </c>
      <c r="B183" s="15">
        <v>5</v>
      </c>
      <c r="C183" s="15">
        <v>1</v>
      </c>
      <c r="D183" s="15" t="s">
        <v>27</v>
      </c>
      <c r="E183" s="15">
        <v>2013</v>
      </c>
      <c r="F183" s="14" t="s">
        <v>1007</v>
      </c>
      <c r="G183" s="15" t="s">
        <v>616</v>
      </c>
      <c r="H183" s="15" t="s">
        <v>617</v>
      </c>
      <c r="I183" s="7" t="str">
        <f t="shared" si="7"/>
        <v>40.7570371</v>
      </c>
      <c r="J183" s="7">
        <f t="shared" si="8"/>
        <v>3.7993300000000001E-2</v>
      </c>
      <c r="K183" t="s">
        <v>810</v>
      </c>
      <c r="L183" t="s">
        <v>99</v>
      </c>
      <c r="M183" t="s">
        <v>949</v>
      </c>
      <c r="N183" s="3"/>
      <c r="O183" t="s">
        <v>89</v>
      </c>
      <c r="P183" t="s">
        <v>80</v>
      </c>
      <c r="Q183" t="s">
        <v>1034</v>
      </c>
      <c r="R183" s="19" t="s">
        <v>285</v>
      </c>
    </row>
    <row r="184" spans="1:18">
      <c r="A184" s="13" t="s">
        <v>615</v>
      </c>
      <c r="B184" s="15">
        <v>5</v>
      </c>
      <c r="C184" s="15">
        <v>1</v>
      </c>
      <c r="D184" s="15" t="s">
        <v>27</v>
      </c>
      <c r="E184" s="15">
        <v>2013</v>
      </c>
      <c r="F184" s="14" t="s">
        <v>1007</v>
      </c>
      <c r="G184" s="15" t="s">
        <v>618</v>
      </c>
      <c r="H184" s="15" t="s">
        <v>524</v>
      </c>
      <c r="I184" s="7" t="str">
        <f t="shared" si="7"/>
        <v>40.8315709</v>
      </c>
      <c r="J184" s="7">
        <f t="shared" si="8"/>
        <v>0.17911869999999999</v>
      </c>
      <c r="K184" t="s">
        <v>811</v>
      </c>
      <c r="L184" t="s">
        <v>99</v>
      </c>
      <c r="M184" t="s">
        <v>950</v>
      </c>
      <c r="N184" s="3"/>
      <c r="O184" t="s">
        <v>89</v>
      </c>
      <c r="P184" t="s">
        <v>80</v>
      </c>
      <c r="Q184" t="s">
        <v>1034</v>
      </c>
      <c r="R184" s="19" t="s">
        <v>285</v>
      </c>
    </row>
    <row r="185" spans="1:18">
      <c r="A185" s="13" t="s">
        <v>619</v>
      </c>
      <c r="B185" s="15">
        <v>4</v>
      </c>
      <c r="C185" s="15">
        <v>1</v>
      </c>
      <c r="D185" s="15" t="s">
        <v>21</v>
      </c>
      <c r="E185" s="15">
        <v>2013</v>
      </c>
      <c r="F185" s="14" t="s">
        <v>1007</v>
      </c>
      <c r="G185" s="15" t="s">
        <v>620</v>
      </c>
      <c r="H185" s="15" t="s">
        <v>398</v>
      </c>
      <c r="I185" s="7" t="str">
        <f t="shared" si="7"/>
        <v>42.5532611</v>
      </c>
      <c r="J185" s="7">
        <f t="shared" si="8"/>
        <v>-2.5899448</v>
      </c>
      <c r="K185" t="s">
        <v>812</v>
      </c>
      <c r="L185" t="s">
        <v>99</v>
      </c>
      <c r="M185" t="s">
        <v>951</v>
      </c>
      <c r="N185" s="3"/>
      <c r="O185" t="s">
        <v>88</v>
      </c>
      <c r="P185" t="s">
        <v>80</v>
      </c>
      <c r="Q185" t="s">
        <v>1034</v>
      </c>
      <c r="R185" s="19" t="s">
        <v>364</v>
      </c>
    </row>
    <row r="186" spans="1:18">
      <c r="A186" s="13" t="s">
        <v>619</v>
      </c>
      <c r="B186" s="15">
        <v>4</v>
      </c>
      <c r="C186" s="15">
        <v>1</v>
      </c>
      <c r="D186" s="15" t="s">
        <v>21</v>
      </c>
      <c r="E186" s="15">
        <v>2013</v>
      </c>
      <c r="F186" s="14" t="s">
        <v>1007</v>
      </c>
      <c r="G186" s="15" t="s">
        <v>621</v>
      </c>
      <c r="H186" s="15" t="s">
        <v>622</v>
      </c>
      <c r="I186" s="7" t="str">
        <f t="shared" si="7"/>
        <v>42.3241761</v>
      </c>
      <c r="J186" s="7">
        <f t="shared" si="8"/>
        <v>-2.5173668</v>
      </c>
      <c r="K186" t="s">
        <v>813</v>
      </c>
      <c r="L186" t="s">
        <v>99</v>
      </c>
      <c r="M186" t="s">
        <v>952</v>
      </c>
      <c r="N186" s="3"/>
      <c r="O186" t="s">
        <v>88</v>
      </c>
      <c r="P186" t="s">
        <v>80</v>
      </c>
      <c r="Q186" t="s">
        <v>1034</v>
      </c>
      <c r="R186" s="19" t="s">
        <v>397</v>
      </c>
    </row>
    <row r="187" spans="1:18">
      <c r="A187" s="13" t="s">
        <v>623</v>
      </c>
      <c r="B187" s="14">
        <v>3</v>
      </c>
      <c r="C187" s="14">
        <v>1</v>
      </c>
      <c r="D187" s="15" t="s">
        <v>15</v>
      </c>
      <c r="E187" s="14">
        <v>2013</v>
      </c>
      <c r="F187" s="14" t="s">
        <v>1007</v>
      </c>
      <c r="G187" s="15" t="s">
        <v>151</v>
      </c>
      <c r="H187" s="15" t="s">
        <v>624</v>
      </c>
      <c r="I187" s="7" t="str">
        <f t="shared" si="7"/>
        <v>43.065591</v>
      </c>
      <c r="J187" s="7">
        <f t="shared" si="8"/>
        <v>-0.49950689999999998</v>
      </c>
      <c r="K187" t="s">
        <v>814</v>
      </c>
      <c r="L187" t="s">
        <v>99</v>
      </c>
      <c r="M187" s="10" t="s">
        <v>953</v>
      </c>
      <c r="N187" s="3"/>
      <c r="O187" t="s">
        <v>91</v>
      </c>
      <c r="P187" t="s">
        <v>80</v>
      </c>
      <c r="Q187" t="s">
        <v>1034</v>
      </c>
      <c r="R187" s="19" t="s">
        <v>315</v>
      </c>
    </row>
    <row r="188" spans="1:18">
      <c r="A188" s="13" t="s">
        <v>625</v>
      </c>
      <c r="B188" s="14">
        <v>2</v>
      </c>
      <c r="C188" s="14">
        <v>1</v>
      </c>
      <c r="D188" s="15" t="s">
        <v>10</v>
      </c>
      <c r="E188" s="14">
        <v>2013</v>
      </c>
      <c r="F188" s="14" t="s">
        <v>1007</v>
      </c>
      <c r="G188" s="15" t="s">
        <v>150</v>
      </c>
      <c r="H188" s="15" t="s">
        <v>626</v>
      </c>
      <c r="I188" s="7" t="str">
        <f t="shared" si="7"/>
        <v>42.4126212</v>
      </c>
      <c r="J188" s="7">
        <f t="shared" si="8"/>
        <v>-0.79158209999999996</v>
      </c>
      <c r="K188" t="s">
        <v>815</v>
      </c>
      <c r="L188" t="s">
        <v>99</v>
      </c>
      <c r="M188" t="s">
        <v>954</v>
      </c>
      <c r="N188" s="3"/>
      <c r="O188" t="s">
        <v>88</v>
      </c>
      <c r="P188" t="s">
        <v>80</v>
      </c>
      <c r="Q188" t="s">
        <v>1034</v>
      </c>
      <c r="R188" s="19" t="s">
        <v>82</v>
      </c>
    </row>
    <row r="189" spans="1:18">
      <c r="A189" s="13" t="s">
        <v>627</v>
      </c>
      <c r="B189" s="14">
        <v>1</v>
      </c>
      <c r="C189" s="14">
        <v>1</v>
      </c>
      <c r="D189" s="15" t="s">
        <v>6</v>
      </c>
      <c r="E189" s="14">
        <v>2013</v>
      </c>
      <c r="F189" s="14" t="s">
        <v>1007</v>
      </c>
      <c r="G189" s="15" t="s">
        <v>149</v>
      </c>
      <c r="H189" s="15" t="s">
        <v>149</v>
      </c>
      <c r="I189" s="7" t="str">
        <f t="shared" si="7"/>
        <v>42.1633581</v>
      </c>
      <c r="J189" s="7">
        <f t="shared" si="8"/>
        <v>-8.1518199999999999E-2</v>
      </c>
      <c r="K189" t="s">
        <v>816</v>
      </c>
      <c r="L189" t="s">
        <v>99</v>
      </c>
      <c r="M189" t="s">
        <v>955</v>
      </c>
      <c r="N189" s="3"/>
      <c r="O189" t="s">
        <v>88</v>
      </c>
      <c r="P189" t="s">
        <v>80</v>
      </c>
      <c r="Q189" t="s">
        <v>1034</v>
      </c>
      <c r="R189" s="19" t="s">
        <v>82</v>
      </c>
    </row>
    <row r="190" spans="1:18">
      <c r="A190" s="13" t="s">
        <v>628</v>
      </c>
      <c r="B190" s="14">
        <v>12</v>
      </c>
      <c r="C190" s="14">
        <v>1</v>
      </c>
      <c r="D190" s="15" t="s">
        <v>121</v>
      </c>
      <c r="E190" s="14">
        <v>2012</v>
      </c>
      <c r="F190" s="14" t="s">
        <v>1007</v>
      </c>
      <c r="G190" s="15" t="s">
        <v>629</v>
      </c>
      <c r="H190" s="15" t="s">
        <v>630</v>
      </c>
      <c r="I190" s="7" t="str">
        <f t="shared" si="7"/>
        <v>40.0556662</v>
      </c>
      <c r="J190" s="7">
        <f t="shared" si="8"/>
        <v>-0.466146</v>
      </c>
      <c r="K190" t="s">
        <v>817</v>
      </c>
      <c r="L190" t="s">
        <v>99</v>
      </c>
      <c r="M190" t="s">
        <v>956</v>
      </c>
      <c r="N190" s="3"/>
      <c r="O190" t="s">
        <v>89</v>
      </c>
      <c r="P190" t="s">
        <v>80</v>
      </c>
      <c r="Q190" t="s">
        <v>1034</v>
      </c>
      <c r="R190" s="19" t="s">
        <v>1033</v>
      </c>
    </row>
    <row r="191" spans="1:18">
      <c r="A191" s="13" t="s">
        <v>628</v>
      </c>
      <c r="B191" s="14">
        <v>12</v>
      </c>
      <c r="C191" s="14">
        <v>1</v>
      </c>
      <c r="D191" s="15" t="s">
        <v>121</v>
      </c>
      <c r="E191" s="14">
        <v>2012</v>
      </c>
      <c r="F191" s="14" t="s">
        <v>1007</v>
      </c>
      <c r="G191" s="15" t="s">
        <v>629</v>
      </c>
      <c r="H191" s="15" t="s">
        <v>631</v>
      </c>
      <c r="I191" s="7" t="str">
        <f t="shared" si="7"/>
        <v>39.9871249</v>
      </c>
      <c r="J191" s="7">
        <f t="shared" si="8"/>
        <v>-0.30641659999999998</v>
      </c>
      <c r="K191" t="s">
        <v>818</v>
      </c>
      <c r="L191" t="s">
        <v>99</v>
      </c>
      <c r="M191" t="s">
        <v>957</v>
      </c>
      <c r="N191" s="3"/>
      <c r="O191" t="s">
        <v>89</v>
      </c>
      <c r="P191" t="s">
        <v>80</v>
      </c>
      <c r="Q191" t="s">
        <v>1034</v>
      </c>
      <c r="R191" s="19" t="s">
        <v>1033</v>
      </c>
    </row>
    <row r="192" spans="1:18">
      <c r="A192" s="13" t="s">
        <v>632</v>
      </c>
      <c r="B192" s="14">
        <v>10</v>
      </c>
      <c r="C192" s="14">
        <v>1</v>
      </c>
      <c r="D192" s="15" t="s">
        <v>46</v>
      </c>
      <c r="E192" s="14">
        <v>2012</v>
      </c>
      <c r="F192" s="14" t="s">
        <v>1007</v>
      </c>
      <c r="G192" s="15" t="s">
        <v>148</v>
      </c>
      <c r="H192" s="15" t="s">
        <v>338</v>
      </c>
      <c r="I192" s="7" t="str">
        <f t="shared" si="7"/>
        <v>42.5872816</v>
      </c>
      <c r="J192" s="7">
        <f t="shared" si="8"/>
        <v>-2.1610500000000001E-2</v>
      </c>
      <c r="K192" t="s">
        <v>819</v>
      </c>
      <c r="L192" t="s">
        <v>99</v>
      </c>
      <c r="M192" t="s">
        <v>958</v>
      </c>
      <c r="N192" s="3"/>
      <c r="O192" t="s">
        <v>88</v>
      </c>
      <c r="P192" t="s">
        <v>80</v>
      </c>
      <c r="Q192" t="s">
        <v>1034</v>
      </c>
      <c r="R192" s="19" t="s">
        <v>82</v>
      </c>
    </row>
    <row r="193" spans="1:18">
      <c r="A193" s="13" t="s">
        <v>633</v>
      </c>
      <c r="B193" s="14">
        <v>9</v>
      </c>
      <c r="C193" s="14">
        <v>1</v>
      </c>
      <c r="D193" s="15" t="s">
        <v>129</v>
      </c>
      <c r="E193" s="14">
        <v>2012</v>
      </c>
      <c r="F193" s="14" t="s">
        <v>1007</v>
      </c>
      <c r="G193" s="15" t="s">
        <v>147</v>
      </c>
      <c r="H193" s="15" t="s">
        <v>343</v>
      </c>
      <c r="I193" s="7" t="str">
        <f t="shared" si="7"/>
        <v>42.6956949</v>
      </c>
      <c r="J193" s="7">
        <f t="shared" si="8"/>
        <v>-0.32664290000000001</v>
      </c>
      <c r="K193" t="s">
        <v>820</v>
      </c>
      <c r="L193" t="s">
        <v>99</v>
      </c>
      <c r="M193" t="s">
        <v>959</v>
      </c>
      <c r="N193" s="3"/>
      <c r="O193" t="s">
        <v>88</v>
      </c>
      <c r="P193" t="s">
        <v>80</v>
      </c>
      <c r="Q193" t="s">
        <v>1034</v>
      </c>
      <c r="R193" s="19" t="s">
        <v>82</v>
      </c>
    </row>
    <row r="194" spans="1:18">
      <c r="A194" s="13" t="s">
        <v>634</v>
      </c>
      <c r="B194" s="14">
        <v>7</v>
      </c>
      <c r="C194" s="14">
        <v>1</v>
      </c>
      <c r="D194" s="15" t="s">
        <v>36</v>
      </c>
      <c r="E194" s="14">
        <v>2012</v>
      </c>
      <c r="F194" s="14" t="s">
        <v>1007</v>
      </c>
      <c r="G194" s="15" t="s">
        <v>146</v>
      </c>
      <c r="H194" s="15" t="s">
        <v>545</v>
      </c>
      <c r="I194" s="7" t="str">
        <f t="shared" ref="I194:I250" si="9">MID(K194,FIND("@",K194)+1,FIND(",",K194,FIND("@",K194))-FIND("@",K194)-1)</f>
        <v>42.7610304</v>
      </c>
      <c r="J194" s="7">
        <f t="shared" ref="J194:J250" si="10">VALUE(SUBSTITUTE(MID(K194,FIND(",",K194,FIND("@",K194))+1,FIND(",",K194,FIND(",",K194,FIND("@",K194))+1)-FIND(",",K194,FIND("@",K194))-1),".",","))</f>
        <v>-0.23676420000000001</v>
      </c>
      <c r="K194" t="s">
        <v>794</v>
      </c>
      <c r="L194" t="s">
        <v>99</v>
      </c>
      <c r="M194" t="s">
        <v>960</v>
      </c>
      <c r="N194" s="3"/>
      <c r="O194" t="s">
        <v>88</v>
      </c>
      <c r="P194" t="s">
        <v>80</v>
      </c>
      <c r="Q194" t="s">
        <v>1034</v>
      </c>
      <c r="R194" s="19" t="s">
        <v>82</v>
      </c>
    </row>
    <row r="195" spans="1:18">
      <c r="A195" s="13" t="s">
        <v>635</v>
      </c>
      <c r="B195" s="15">
        <v>6</v>
      </c>
      <c r="C195" s="15">
        <v>1</v>
      </c>
      <c r="D195" s="15" t="s">
        <v>32</v>
      </c>
      <c r="E195" s="15">
        <v>2012</v>
      </c>
      <c r="F195" s="14" t="s">
        <v>1007</v>
      </c>
      <c r="G195" s="15" t="s">
        <v>636</v>
      </c>
      <c r="H195" s="15" t="s">
        <v>637</v>
      </c>
      <c r="I195" s="7" t="str">
        <f t="shared" si="9"/>
        <v>42.8411193</v>
      </c>
      <c r="J195" s="7">
        <f t="shared" si="10"/>
        <v>-0.65815349999999995</v>
      </c>
      <c r="K195" t="s">
        <v>821</v>
      </c>
      <c r="L195" t="s">
        <v>99</v>
      </c>
      <c r="M195" t="s">
        <v>961</v>
      </c>
      <c r="N195" s="3"/>
      <c r="O195" t="s">
        <v>88</v>
      </c>
      <c r="P195" t="s">
        <v>80</v>
      </c>
      <c r="Q195" t="s">
        <v>1034</v>
      </c>
      <c r="R195" s="19" t="s">
        <v>82</v>
      </c>
    </row>
    <row r="196" spans="1:18">
      <c r="A196" s="13" t="s">
        <v>635</v>
      </c>
      <c r="B196" s="15">
        <v>6</v>
      </c>
      <c r="C196" s="15">
        <v>1</v>
      </c>
      <c r="D196" s="15" t="s">
        <v>32</v>
      </c>
      <c r="E196" s="15">
        <v>2012</v>
      </c>
      <c r="F196" s="14" t="s">
        <v>1007</v>
      </c>
      <c r="G196" s="15" t="s">
        <v>213</v>
      </c>
      <c r="H196" s="15" t="s">
        <v>304</v>
      </c>
      <c r="I196" s="7" t="str">
        <f t="shared" si="9"/>
        <v>42.7024541</v>
      </c>
      <c r="J196" s="7">
        <f t="shared" si="10"/>
        <v>-0.76221879999999997</v>
      </c>
      <c r="K196" t="s">
        <v>822</v>
      </c>
      <c r="L196" t="s">
        <v>99</v>
      </c>
      <c r="M196" t="s">
        <v>962</v>
      </c>
      <c r="N196" s="3"/>
      <c r="O196" t="s">
        <v>88</v>
      </c>
      <c r="P196" t="s">
        <v>80</v>
      </c>
      <c r="Q196" t="s">
        <v>1034</v>
      </c>
      <c r="R196" s="19" t="s">
        <v>82</v>
      </c>
    </row>
    <row r="197" spans="1:18">
      <c r="A197" s="13" t="s">
        <v>638</v>
      </c>
      <c r="B197" s="14">
        <v>5</v>
      </c>
      <c r="C197" s="14">
        <v>1</v>
      </c>
      <c r="D197" s="15" t="s">
        <v>27</v>
      </c>
      <c r="E197" s="14">
        <v>2012</v>
      </c>
      <c r="F197" s="14" t="s">
        <v>1007</v>
      </c>
      <c r="G197" s="15" t="s">
        <v>145</v>
      </c>
      <c r="H197" s="15" t="s">
        <v>524</v>
      </c>
      <c r="I197" s="7" t="str">
        <f t="shared" si="9"/>
        <v>40.8315709</v>
      </c>
      <c r="J197" s="7">
        <f t="shared" si="10"/>
        <v>0.17911869999999999</v>
      </c>
      <c r="K197" t="s">
        <v>811</v>
      </c>
      <c r="L197" t="s">
        <v>99</v>
      </c>
      <c r="M197" t="s">
        <v>963</v>
      </c>
      <c r="N197" s="3"/>
      <c r="O197" t="s">
        <v>88</v>
      </c>
      <c r="P197" t="s">
        <v>80</v>
      </c>
      <c r="Q197" t="s">
        <v>1034</v>
      </c>
      <c r="R197" s="19" t="s">
        <v>285</v>
      </c>
    </row>
    <row r="198" spans="1:18">
      <c r="A198" s="13" t="s">
        <v>639</v>
      </c>
      <c r="B198" s="14">
        <v>4</v>
      </c>
      <c r="C198" s="14">
        <v>1</v>
      </c>
      <c r="D198" s="15" t="s">
        <v>21</v>
      </c>
      <c r="E198" s="14">
        <v>2012</v>
      </c>
      <c r="F198" s="14" t="s">
        <v>1007</v>
      </c>
      <c r="G198" s="15" t="s">
        <v>144</v>
      </c>
      <c r="H198" s="15" t="s">
        <v>640</v>
      </c>
      <c r="I198" s="7" t="str">
        <f t="shared" si="9"/>
        <v>42.4661072</v>
      </c>
      <c r="J198" s="7">
        <f t="shared" si="10"/>
        <v>0.18948789999999999</v>
      </c>
      <c r="K198" t="s">
        <v>823</v>
      </c>
      <c r="L198" t="s">
        <v>99</v>
      </c>
      <c r="M198" t="s">
        <v>964</v>
      </c>
      <c r="N198" s="3"/>
      <c r="O198" t="s">
        <v>88</v>
      </c>
      <c r="P198" t="s">
        <v>80</v>
      </c>
      <c r="Q198" t="s">
        <v>1034</v>
      </c>
      <c r="R198" s="19" t="s">
        <v>82</v>
      </c>
    </row>
    <row r="199" spans="1:18">
      <c r="A199" s="13" t="s">
        <v>641</v>
      </c>
      <c r="B199" s="14">
        <v>3</v>
      </c>
      <c r="C199" s="14">
        <v>1</v>
      </c>
      <c r="D199" s="15" t="s">
        <v>15</v>
      </c>
      <c r="E199" s="14">
        <v>2012</v>
      </c>
      <c r="F199" s="14" t="s">
        <v>1007</v>
      </c>
      <c r="G199" s="15" t="s">
        <v>143</v>
      </c>
      <c r="H199" s="15" t="s">
        <v>493</v>
      </c>
      <c r="I199" s="7" t="str">
        <f t="shared" si="9"/>
        <v>42.598938</v>
      </c>
      <c r="J199" s="7">
        <f t="shared" si="10"/>
        <v>0.14296210000000001</v>
      </c>
      <c r="K199" t="s">
        <v>755</v>
      </c>
      <c r="L199" t="s">
        <v>99</v>
      </c>
      <c r="M199" t="s">
        <v>965</v>
      </c>
      <c r="N199" s="3"/>
      <c r="O199" t="s">
        <v>91</v>
      </c>
      <c r="P199" t="s">
        <v>80</v>
      </c>
      <c r="Q199" t="s">
        <v>1034</v>
      </c>
      <c r="R199" s="19" t="s">
        <v>82</v>
      </c>
    </row>
    <row r="200" spans="1:18">
      <c r="A200" s="13" t="s">
        <v>641</v>
      </c>
      <c r="B200" s="14">
        <v>3</v>
      </c>
      <c r="C200" s="14">
        <v>1</v>
      </c>
      <c r="D200" s="15" t="s">
        <v>15</v>
      </c>
      <c r="E200" s="14">
        <v>2012</v>
      </c>
      <c r="F200" s="14" t="s">
        <v>1007</v>
      </c>
      <c r="G200" s="15" t="s">
        <v>143</v>
      </c>
      <c r="H200" s="15" t="s">
        <v>482</v>
      </c>
      <c r="I200" s="7" t="str">
        <f t="shared" si="9"/>
        <v>42.5743631</v>
      </c>
      <c r="J200" s="7">
        <f t="shared" si="10"/>
        <v>1.5633500000000002E-2</v>
      </c>
      <c r="K200" t="s">
        <v>824</v>
      </c>
      <c r="L200" t="s">
        <v>99</v>
      </c>
      <c r="M200" t="s">
        <v>966</v>
      </c>
      <c r="N200" s="3"/>
      <c r="O200" t="s">
        <v>91</v>
      </c>
      <c r="P200" t="s">
        <v>80</v>
      </c>
      <c r="Q200" t="s">
        <v>1034</v>
      </c>
      <c r="R200" s="19" t="s">
        <v>82</v>
      </c>
    </row>
    <row r="201" spans="1:18">
      <c r="A201" s="13" t="s">
        <v>642</v>
      </c>
      <c r="B201" s="14">
        <v>2</v>
      </c>
      <c r="C201" s="14">
        <v>1</v>
      </c>
      <c r="D201" s="15" t="s">
        <v>10</v>
      </c>
      <c r="E201" s="14">
        <v>2012</v>
      </c>
      <c r="F201" s="14" t="s">
        <v>1007</v>
      </c>
      <c r="G201" s="15" t="s">
        <v>142</v>
      </c>
      <c r="H201" s="15" t="s">
        <v>643</v>
      </c>
      <c r="I201" s="7" t="str">
        <f t="shared" si="9"/>
        <v>40.9278324</v>
      </c>
      <c r="J201" s="7">
        <f t="shared" si="10"/>
        <v>-0.72897630000000002</v>
      </c>
      <c r="K201" t="s">
        <v>825</v>
      </c>
      <c r="L201" t="s">
        <v>99</v>
      </c>
      <c r="M201" t="s">
        <v>967</v>
      </c>
      <c r="N201" s="3"/>
      <c r="O201" t="s">
        <v>88</v>
      </c>
      <c r="P201" t="s">
        <v>80</v>
      </c>
      <c r="Q201" t="s">
        <v>1034</v>
      </c>
      <c r="R201" s="19" t="s">
        <v>285</v>
      </c>
    </row>
    <row r="202" spans="1:18">
      <c r="A202" s="13" t="s">
        <v>644</v>
      </c>
      <c r="B202" s="14">
        <v>1</v>
      </c>
      <c r="C202" s="14">
        <v>1</v>
      </c>
      <c r="D202" s="15" t="s">
        <v>6</v>
      </c>
      <c r="E202" s="14">
        <v>2012</v>
      </c>
      <c r="F202" s="14" t="s">
        <v>1007</v>
      </c>
      <c r="G202" s="15" t="s">
        <v>141</v>
      </c>
      <c r="H202" s="15" t="s">
        <v>141</v>
      </c>
      <c r="I202" s="7" t="str">
        <f t="shared" si="9"/>
        <v>41.0697045</v>
      </c>
      <c r="J202" s="7">
        <f t="shared" si="10"/>
        <v>-1.3351447000000001</v>
      </c>
      <c r="K202" t="s">
        <v>826</v>
      </c>
      <c r="L202" t="s">
        <v>99</v>
      </c>
      <c r="M202" t="s">
        <v>968</v>
      </c>
      <c r="N202" s="3"/>
      <c r="O202" t="s">
        <v>88</v>
      </c>
      <c r="P202" t="s">
        <v>80</v>
      </c>
      <c r="Q202" t="s">
        <v>1034</v>
      </c>
      <c r="R202" s="19" t="s">
        <v>85</v>
      </c>
    </row>
    <row r="203" spans="1:18">
      <c r="A203" s="13" t="s">
        <v>645</v>
      </c>
      <c r="B203" s="14">
        <v>12</v>
      </c>
      <c r="C203" s="14">
        <v>1</v>
      </c>
      <c r="D203" s="15" t="s">
        <v>121</v>
      </c>
      <c r="E203" s="14">
        <v>2011</v>
      </c>
      <c r="F203" s="14" t="s">
        <v>1007</v>
      </c>
      <c r="G203" s="15" t="s">
        <v>140</v>
      </c>
      <c r="H203" s="15" t="s">
        <v>646</v>
      </c>
      <c r="I203" s="7" t="str">
        <f t="shared" si="9"/>
        <v>41.6812741</v>
      </c>
      <c r="J203" s="7">
        <f t="shared" si="10"/>
        <v>-0.51267479999999999</v>
      </c>
      <c r="K203" t="s">
        <v>827</v>
      </c>
      <c r="L203" t="s">
        <v>99</v>
      </c>
      <c r="M203" t="s">
        <v>969</v>
      </c>
      <c r="N203" s="3"/>
      <c r="O203" t="s">
        <v>88</v>
      </c>
      <c r="P203" t="s">
        <v>80</v>
      </c>
      <c r="Q203" t="s">
        <v>1034</v>
      </c>
      <c r="R203" s="19" t="s">
        <v>85</v>
      </c>
    </row>
    <row r="204" spans="1:18">
      <c r="A204" s="13" t="s">
        <v>647</v>
      </c>
      <c r="B204" s="14">
        <v>11</v>
      </c>
      <c r="C204" s="14">
        <v>1</v>
      </c>
      <c r="D204" s="15" t="s">
        <v>56</v>
      </c>
      <c r="E204" s="14">
        <v>2011</v>
      </c>
      <c r="F204" s="14" t="s">
        <v>1007</v>
      </c>
      <c r="G204" s="15" t="s">
        <v>139</v>
      </c>
      <c r="H204" s="15" t="s">
        <v>648</v>
      </c>
      <c r="I204" s="7" t="str">
        <f t="shared" si="9"/>
        <v>42.575466</v>
      </c>
      <c r="J204" s="7">
        <f t="shared" si="10"/>
        <v>-0.30449759999999998</v>
      </c>
      <c r="K204" t="s">
        <v>828</v>
      </c>
      <c r="L204" t="s">
        <v>99</v>
      </c>
      <c r="M204" t="s">
        <v>970</v>
      </c>
      <c r="N204" s="3"/>
      <c r="O204" t="s">
        <v>88</v>
      </c>
      <c r="P204" t="s">
        <v>80</v>
      </c>
      <c r="Q204" t="s">
        <v>1034</v>
      </c>
      <c r="R204" s="19" t="s">
        <v>82</v>
      </c>
    </row>
    <row r="205" spans="1:18">
      <c r="A205" s="13" t="s">
        <v>649</v>
      </c>
      <c r="B205" s="14">
        <v>10</v>
      </c>
      <c r="C205" s="14">
        <v>1</v>
      </c>
      <c r="D205" s="15" t="s">
        <v>46</v>
      </c>
      <c r="E205" s="14">
        <v>2011</v>
      </c>
      <c r="F205" s="14" t="s">
        <v>1007</v>
      </c>
      <c r="G205" s="15" t="s">
        <v>138</v>
      </c>
      <c r="H205" s="15" t="s">
        <v>650</v>
      </c>
      <c r="I205" s="7" t="str">
        <f t="shared" si="9"/>
        <v>42.6334561</v>
      </c>
      <c r="J205" s="7">
        <f t="shared" si="10"/>
        <v>0.2154124</v>
      </c>
      <c r="K205" t="s">
        <v>829</v>
      </c>
      <c r="L205" t="s">
        <v>99</v>
      </c>
      <c r="M205" t="s">
        <v>971</v>
      </c>
      <c r="N205" s="3"/>
      <c r="O205" t="s">
        <v>88</v>
      </c>
      <c r="P205" t="s">
        <v>80</v>
      </c>
      <c r="Q205" t="s">
        <v>1034</v>
      </c>
      <c r="R205" s="19" t="s">
        <v>82</v>
      </c>
    </row>
    <row r="206" spans="1:18">
      <c r="A206" s="13" t="s">
        <v>651</v>
      </c>
      <c r="B206" s="14">
        <v>9</v>
      </c>
      <c r="C206" s="14">
        <v>1</v>
      </c>
      <c r="D206" s="15" t="s">
        <v>129</v>
      </c>
      <c r="E206" s="14">
        <v>2011</v>
      </c>
      <c r="F206" s="14" t="s">
        <v>1007</v>
      </c>
      <c r="G206" s="15" t="s">
        <v>652</v>
      </c>
      <c r="H206" s="15" t="s">
        <v>653</v>
      </c>
      <c r="I206" s="7" t="str">
        <f t="shared" si="9"/>
        <v>42.8659717</v>
      </c>
      <c r="J206" s="7">
        <f t="shared" si="10"/>
        <v>-0.45867639999999998</v>
      </c>
      <c r="K206" t="s">
        <v>830</v>
      </c>
      <c r="L206" t="s">
        <v>99</v>
      </c>
      <c r="M206" t="s">
        <v>972</v>
      </c>
      <c r="N206" s="3"/>
      <c r="O206" t="s">
        <v>91</v>
      </c>
      <c r="P206" t="s">
        <v>80</v>
      </c>
      <c r="Q206" t="s">
        <v>1034</v>
      </c>
      <c r="R206" s="19" t="s">
        <v>315</v>
      </c>
    </row>
    <row r="207" spans="1:18">
      <c r="A207" s="13" t="s">
        <v>651</v>
      </c>
      <c r="B207" s="14">
        <v>9</v>
      </c>
      <c r="C207" s="14">
        <v>1</v>
      </c>
      <c r="D207" s="15" t="s">
        <v>129</v>
      </c>
      <c r="E207" s="14">
        <v>2011</v>
      </c>
      <c r="F207" s="14" t="s">
        <v>1007</v>
      </c>
      <c r="G207" s="15" t="s">
        <v>654</v>
      </c>
      <c r="H207" s="15" t="s">
        <v>655</v>
      </c>
      <c r="I207" s="7" t="str">
        <f t="shared" si="9"/>
        <v>42.8484017</v>
      </c>
      <c r="J207" s="7">
        <f t="shared" si="10"/>
        <v>-0.49376930000000002</v>
      </c>
      <c r="K207" t="s">
        <v>831</v>
      </c>
      <c r="L207" t="s">
        <v>99</v>
      </c>
      <c r="M207" t="s">
        <v>973</v>
      </c>
      <c r="N207" s="3"/>
      <c r="O207" t="s">
        <v>91</v>
      </c>
      <c r="P207" t="s">
        <v>80</v>
      </c>
      <c r="Q207" t="s">
        <v>1034</v>
      </c>
      <c r="R207" s="19" t="s">
        <v>315</v>
      </c>
    </row>
    <row r="208" spans="1:18">
      <c r="A208" s="13" t="s">
        <v>656</v>
      </c>
      <c r="B208" s="14">
        <v>7</v>
      </c>
      <c r="C208" s="14">
        <v>1</v>
      </c>
      <c r="D208" s="15" t="s">
        <v>36</v>
      </c>
      <c r="E208" s="14">
        <v>2011</v>
      </c>
      <c r="F208" s="14" t="s">
        <v>1007</v>
      </c>
      <c r="G208" s="15" t="s">
        <v>137</v>
      </c>
      <c r="H208" s="15" t="s">
        <v>657</v>
      </c>
      <c r="I208" s="7" t="str">
        <f t="shared" si="9"/>
        <v>42.7728628</v>
      </c>
      <c r="J208" s="7">
        <f t="shared" si="10"/>
        <v>-0.33615020000000001</v>
      </c>
      <c r="K208" t="s">
        <v>832</v>
      </c>
      <c r="L208" t="s">
        <v>99</v>
      </c>
      <c r="M208" t="s">
        <v>974</v>
      </c>
      <c r="N208" s="3"/>
      <c r="O208" t="s">
        <v>88</v>
      </c>
      <c r="P208" t="s">
        <v>302</v>
      </c>
      <c r="Q208" t="s">
        <v>1034</v>
      </c>
      <c r="R208" s="19" t="s">
        <v>82</v>
      </c>
    </row>
    <row r="209" spans="1:18">
      <c r="A209" s="13" t="s">
        <v>656</v>
      </c>
      <c r="B209" s="15">
        <v>7</v>
      </c>
      <c r="C209" s="15">
        <v>1</v>
      </c>
      <c r="D209" s="15" t="s">
        <v>36</v>
      </c>
      <c r="E209" s="15">
        <v>2011</v>
      </c>
      <c r="F209" s="14" t="s">
        <v>1007</v>
      </c>
      <c r="G209" s="15" t="s">
        <v>658</v>
      </c>
      <c r="H209" s="15" t="s">
        <v>487</v>
      </c>
      <c r="I209" s="7" t="str">
        <f t="shared" si="9"/>
        <v>42.7880427</v>
      </c>
      <c r="J209" s="7">
        <f t="shared" si="10"/>
        <v>-0.53366979999999997</v>
      </c>
      <c r="K209" t="s">
        <v>833</v>
      </c>
      <c r="L209" t="s">
        <v>99</v>
      </c>
      <c r="M209" t="s">
        <v>975</v>
      </c>
      <c r="N209" s="3"/>
      <c r="O209" t="s">
        <v>88</v>
      </c>
      <c r="P209" t="s">
        <v>302</v>
      </c>
      <c r="Q209" t="s">
        <v>1034</v>
      </c>
      <c r="R209" s="19" t="s">
        <v>82</v>
      </c>
    </row>
    <row r="210" spans="1:18">
      <c r="A210" s="13" t="s">
        <v>656</v>
      </c>
      <c r="B210" s="15">
        <v>7</v>
      </c>
      <c r="C210" s="15">
        <v>1</v>
      </c>
      <c r="D210" s="15" t="s">
        <v>36</v>
      </c>
      <c r="E210" s="15">
        <v>2011</v>
      </c>
      <c r="F210" s="14" t="s">
        <v>1007</v>
      </c>
      <c r="G210" s="15" t="s">
        <v>659</v>
      </c>
      <c r="H210" s="15" t="s">
        <v>515</v>
      </c>
      <c r="I210" s="7" t="str">
        <f t="shared" si="9"/>
        <v>42.7641664</v>
      </c>
      <c r="J210" s="7">
        <f t="shared" si="10"/>
        <v>-0.63656729999999995</v>
      </c>
      <c r="K210" t="s">
        <v>834</v>
      </c>
      <c r="L210" t="s">
        <v>99</v>
      </c>
      <c r="M210" t="s">
        <v>976</v>
      </c>
      <c r="N210" s="3"/>
      <c r="O210" t="s">
        <v>88</v>
      </c>
      <c r="P210" t="s">
        <v>302</v>
      </c>
      <c r="Q210" t="s">
        <v>1034</v>
      </c>
      <c r="R210" s="19" t="s">
        <v>82</v>
      </c>
    </row>
    <row r="211" spans="1:18">
      <c r="A211" s="13" t="s">
        <v>656</v>
      </c>
      <c r="B211" s="15">
        <v>7</v>
      </c>
      <c r="C211" s="15">
        <v>1</v>
      </c>
      <c r="D211" s="15" t="s">
        <v>36</v>
      </c>
      <c r="E211" s="15">
        <v>2011</v>
      </c>
      <c r="F211" s="14" t="s">
        <v>1007</v>
      </c>
      <c r="G211" s="15" t="s">
        <v>660</v>
      </c>
      <c r="H211" s="15" t="s">
        <v>515</v>
      </c>
      <c r="I211" s="7" t="str">
        <f t="shared" si="9"/>
        <v>42.7641664</v>
      </c>
      <c r="J211" s="7">
        <f t="shared" si="10"/>
        <v>-0.63656729999999995</v>
      </c>
      <c r="K211" t="s">
        <v>834</v>
      </c>
      <c r="L211" t="s">
        <v>99</v>
      </c>
      <c r="M211" t="s">
        <v>977</v>
      </c>
      <c r="N211" s="3"/>
      <c r="O211" t="s">
        <v>88</v>
      </c>
      <c r="P211" t="s">
        <v>302</v>
      </c>
      <c r="Q211" t="s">
        <v>1034</v>
      </c>
      <c r="R211" s="19" t="s">
        <v>82</v>
      </c>
    </row>
    <row r="212" spans="1:18">
      <c r="A212" s="13" t="s">
        <v>661</v>
      </c>
      <c r="B212" s="14">
        <v>6</v>
      </c>
      <c r="C212" s="14">
        <v>1</v>
      </c>
      <c r="D212" s="15" t="s">
        <v>32</v>
      </c>
      <c r="E212" s="14">
        <v>2011</v>
      </c>
      <c r="F212" s="14" t="s">
        <v>1007</v>
      </c>
      <c r="G212" s="15" t="s">
        <v>136</v>
      </c>
      <c r="H212" s="15" t="s">
        <v>371</v>
      </c>
      <c r="I212" s="7" t="str">
        <f t="shared" si="9"/>
        <v>42.2824179</v>
      </c>
      <c r="J212" s="7">
        <f t="shared" si="10"/>
        <v>-7.98846E-2</v>
      </c>
      <c r="K212" t="s">
        <v>835</v>
      </c>
      <c r="L212" t="s">
        <v>99</v>
      </c>
      <c r="M212" t="s">
        <v>978</v>
      </c>
      <c r="N212" s="3"/>
      <c r="O212" t="s">
        <v>88</v>
      </c>
      <c r="P212" t="s">
        <v>80</v>
      </c>
      <c r="Q212" t="s">
        <v>1034</v>
      </c>
      <c r="R212" s="19" t="s">
        <v>82</v>
      </c>
    </row>
    <row r="213" spans="1:18">
      <c r="A213" s="13" t="s">
        <v>662</v>
      </c>
      <c r="B213" s="14">
        <v>5</v>
      </c>
      <c r="C213" s="14">
        <v>1</v>
      </c>
      <c r="D213" s="15" t="s">
        <v>27</v>
      </c>
      <c r="E213" s="14">
        <v>2011</v>
      </c>
      <c r="F213" s="14" t="s">
        <v>1007</v>
      </c>
      <c r="G213" s="15" t="s">
        <v>663</v>
      </c>
      <c r="H213" s="15" t="s">
        <v>664</v>
      </c>
      <c r="I213" s="7" t="str">
        <f t="shared" si="9"/>
        <v>40.8063331</v>
      </c>
      <c r="J213" s="7">
        <f t="shared" si="10"/>
        <v>0.69295439999999997</v>
      </c>
      <c r="K213" t="s">
        <v>836</v>
      </c>
      <c r="L213" t="s">
        <v>99</v>
      </c>
      <c r="M213" t="s">
        <v>979</v>
      </c>
      <c r="N213" s="3"/>
      <c r="O213" t="s">
        <v>89</v>
      </c>
      <c r="P213" t="s">
        <v>80</v>
      </c>
      <c r="Q213" t="s">
        <v>1034</v>
      </c>
      <c r="R213" s="19" t="s">
        <v>83</v>
      </c>
    </row>
    <row r="214" spans="1:18">
      <c r="A214" s="13" t="s">
        <v>662</v>
      </c>
      <c r="B214" s="14">
        <v>5</v>
      </c>
      <c r="C214" s="14">
        <v>1</v>
      </c>
      <c r="D214" s="15" t="s">
        <v>27</v>
      </c>
      <c r="E214" s="14">
        <v>2011</v>
      </c>
      <c r="F214" s="14" t="s">
        <v>1007</v>
      </c>
      <c r="G214" s="15" t="s">
        <v>665</v>
      </c>
      <c r="H214" s="15" t="s">
        <v>666</v>
      </c>
      <c r="I214" s="7" t="str">
        <f t="shared" si="9"/>
        <v>40.8837448</v>
      </c>
      <c r="J214" s="7">
        <f t="shared" si="10"/>
        <v>0.79681880000000005</v>
      </c>
      <c r="K214" t="s">
        <v>837</v>
      </c>
      <c r="L214" t="s">
        <v>99</v>
      </c>
      <c r="M214" t="s">
        <v>980</v>
      </c>
      <c r="N214" s="3"/>
      <c r="O214" t="s">
        <v>89</v>
      </c>
      <c r="P214" t="s">
        <v>80</v>
      </c>
      <c r="Q214" t="s">
        <v>1034</v>
      </c>
      <c r="R214" s="19" t="s">
        <v>83</v>
      </c>
    </row>
    <row r="215" spans="1:18">
      <c r="A215" s="13" t="s">
        <v>667</v>
      </c>
      <c r="B215" s="14">
        <v>4</v>
      </c>
      <c r="C215" s="14">
        <v>1</v>
      </c>
      <c r="D215" s="15" t="s">
        <v>21</v>
      </c>
      <c r="E215" s="14">
        <v>2011</v>
      </c>
      <c r="F215" s="14" t="s">
        <v>1007</v>
      </c>
      <c r="G215" s="15" t="s">
        <v>135</v>
      </c>
      <c r="H215" s="15" t="s">
        <v>511</v>
      </c>
      <c r="I215" s="7" t="str">
        <f t="shared" si="9"/>
        <v>42.2475964</v>
      </c>
      <c r="J215" s="7">
        <f t="shared" si="10"/>
        <v>-0.28213009999999999</v>
      </c>
      <c r="K215" s="16" t="s">
        <v>781</v>
      </c>
      <c r="L215" t="s">
        <v>99</v>
      </c>
      <c r="M215" t="s">
        <v>981</v>
      </c>
      <c r="N215" s="3"/>
      <c r="O215" t="s">
        <v>88</v>
      </c>
      <c r="P215" t="s">
        <v>80</v>
      </c>
      <c r="Q215" t="s">
        <v>1034</v>
      </c>
      <c r="R215" s="19" t="s">
        <v>82</v>
      </c>
    </row>
    <row r="216" spans="1:18">
      <c r="A216" s="13" t="s">
        <v>668</v>
      </c>
      <c r="B216" s="14">
        <v>3</v>
      </c>
      <c r="C216" s="14">
        <v>1</v>
      </c>
      <c r="D216" s="15" t="s">
        <v>15</v>
      </c>
      <c r="E216" s="14">
        <v>2011</v>
      </c>
      <c r="F216" s="14" t="s">
        <v>1007</v>
      </c>
      <c r="G216" s="15" t="s">
        <v>134</v>
      </c>
      <c r="H216" s="15" t="s">
        <v>487</v>
      </c>
      <c r="I216" s="7" t="str">
        <f t="shared" si="9"/>
        <v>42.7880427</v>
      </c>
      <c r="J216" s="7">
        <f t="shared" si="10"/>
        <v>-0.53366979999999997</v>
      </c>
      <c r="K216" t="s">
        <v>833</v>
      </c>
      <c r="L216" t="s">
        <v>99</v>
      </c>
      <c r="M216" t="s">
        <v>1004</v>
      </c>
      <c r="N216" s="3"/>
      <c r="O216" t="s">
        <v>88</v>
      </c>
      <c r="P216" t="s">
        <v>80</v>
      </c>
      <c r="Q216" t="s">
        <v>1034</v>
      </c>
      <c r="R216" s="19" t="s">
        <v>82</v>
      </c>
    </row>
    <row r="217" spans="1:18">
      <c r="A217" s="13" t="s">
        <v>669</v>
      </c>
      <c r="B217" s="14">
        <v>2</v>
      </c>
      <c r="C217" s="14">
        <v>1</v>
      </c>
      <c r="D217" s="15" t="s">
        <v>10</v>
      </c>
      <c r="E217" s="14">
        <v>2011</v>
      </c>
      <c r="F217" s="14" t="s">
        <v>1007</v>
      </c>
      <c r="G217" s="15" t="s">
        <v>107</v>
      </c>
      <c r="H217" s="15" t="s">
        <v>670</v>
      </c>
      <c r="I217" s="7" t="str">
        <f t="shared" si="9"/>
        <v>42.486595</v>
      </c>
      <c r="J217" s="7">
        <f t="shared" si="10"/>
        <v>-0.28305079999999999</v>
      </c>
      <c r="K217" t="s">
        <v>838</v>
      </c>
      <c r="L217" t="s">
        <v>99</v>
      </c>
      <c r="M217" t="s">
        <v>982</v>
      </c>
      <c r="N217" s="3"/>
      <c r="O217" t="s">
        <v>88</v>
      </c>
      <c r="P217" t="s">
        <v>80</v>
      </c>
      <c r="Q217" t="s">
        <v>1034</v>
      </c>
      <c r="R217" s="19" t="s">
        <v>82</v>
      </c>
    </row>
    <row r="218" spans="1:18">
      <c r="A218" s="13" t="s">
        <v>671</v>
      </c>
      <c r="B218" s="14">
        <v>1</v>
      </c>
      <c r="C218" s="14">
        <v>1</v>
      </c>
      <c r="D218" s="15" t="s">
        <v>6</v>
      </c>
      <c r="E218" s="14">
        <v>2011</v>
      </c>
      <c r="F218" s="14" t="s">
        <v>1007</v>
      </c>
      <c r="G218" s="15" t="s">
        <v>133</v>
      </c>
      <c r="H218" s="15" t="s">
        <v>133</v>
      </c>
      <c r="I218" s="7" t="str">
        <f t="shared" si="9"/>
        <v>41.2840834</v>
      </c>
      <c r="J218" s="7">
        <f t="shared" si="10"/>
        <v>-1.2160280000000001</v>
      </c>
      <c r="K218" s="10" t="s">
        <v>839</v>
      </c>
      <c r="L218" t="s">
        <v>99</v>
      </c>
      <c r="M218" t="s">
        <v>983</v>
      </c>
      <c r="N218" s="3"/>
      <c r="O218" t="s">
        <v>88</v>
      </c>
      <c r="P218" t="s">
        <v>80</v>
      </c>
      <c r="Q218" t="s">
        <v>1034</v>
      </c>
      <c r="R218" s="19" t="s">
        <v>85</v>
      </c>
    </row>
    <row r="219" spans="1:18">
      <c r="A219" s="13" t="s">
        <v>672</v>
      </c>
      <c r="B219" s="14">
        <v>12</v>
      </c>
      <c r="C219" s="14">
        <v>1</v>
      </c>
      <c r="D219" s="15" t="s">
        <v>121</v>
      </c>
      <c r="E219" s="14">
        <v>2010</v>
      </c>
      <c r="F219" s="14" t="s">
        <v>1007</v>
      </c>
      <c r="G219" s="15" t="s">
        <v>132</v>
      </c>
      <c r="H219" s="15" t="s">
        <v>422</v>
      </c>
      <c r="I219" s="7" t="str">
        <f t="shared" si="9"/>
        <v>41.1581296</v>
      </c>
      <c r="J219" s="7">
        <f t="shared" si="10"/>
        <v>-1.9144475000000001</v>
      </c>
      <c r="K219" t="s">
        <v>840</v>
      </c>
      <c r="L219" t="s">
        <v>99</v>
      </c>
      <c r="M219" t="s">
        <v>984</v>
      </c>
      <c r="N219" s="3"/>
      <c r="O219" t="s">
        <v>88</v>
      </c>
      <c r="P219" t="s">
        <v>80</v>
      </c>
      <c r="Q219" t="s">
        <v>1034</v>
      </c>
      <c r="R219" s="19" t="s">
        <v>85</v>
      </c>
    </row>
    <row r="220" spans="1:18">
      <c r="A220" s="13" t="s">
        <v>673</v>
      </c>
      <c r="B220" s="14">
        <v>11</v>
      </c>
      <c r="C220" s="14">
        <v>1</v>
      </c>
      <c r="D220" s="15" t="s">
        <v>56</v>
      </c>
      <c r="E220" s="14">
        <v>2010</v>
      </c>
      <c r="F220" s="14" t="s">
        <v>1007</v>
      </c>
      <c r="G220" s="15" t="s">
        <v>131</v>
      </c>
      <c r="H220" s="15" t="s">
        <v>674</v>
      </c>
      <c r="I220" s="7" t="str">
        <f t="shared" si="9"/>
        <v>41.7308692</v>
      </c>
      <c r="J220" s="7">
        <f t="shared" si="10"/>
        <v>-1.6796218000000001</v>
      </c>
      <c r="K220" t="s">
        <v>841</v>
      </c>
      <c r="L220" t="s">
        <v>99</v>
      </c>
      <c r="M220" t="s">
        <v>985</v>
      </c>
      <c r="N220" s="3"/>
      <c r="O220" t="s">
        <v>88</v>
      </c>
      <c r="P220" t="s">
        <v>80</v>
      </c>
      <c r="Q220" t="s">
        <v>1034</v>
      </c>
      <c r="R220" s="19" t="s">
        <v>85</v>
      </c>
    </row>
    <row r="221" spans="1:18">
      <c r="A221" s="13" t="s">
        <v>675</v>
      </c>
      <c r="B221" s="15">
        <v>10</v>
      </c>
      <c r="C221" s="15">
        <v>1</v>
      </c>
      <c r="D221" s="15" t="s">
        <v>46</v>
      </c>
      <c r="E221" s="15">
        <v>2010</v>
      </c>
      <c r="F221" s="14" t="s">
        <v>1007</v>
      </c>
      <c r="G221" s="15" t="s">
        <v>677</v>
      </c>
      <c r="H221" s="15" t="s">
        <v>678</v>
      </c>
      <c r="I221" s="7" t="str">
        <f t="shared" si="9"/>
        <v>42.7562101</v>
      </c>
      <c r="J221" s="7">
        <f t="shared" si="10"/>
        <v>-0.75527650000000002</v>
      </c>
      <c r="K221" t="s">
        <v>843</v>
      </c>
      <c r="L221" t="s">
        <v>99</v>
      </c>
      <c r="M221" t="s">
        <v>1004</v>
      </c>
      <c r="N221" s="3"/>
      <c r="O221" t="s">
        <v>88</v>
      </c>
      <c r="P221" t="s">
        <v>80</v>
      </c>
      <c r="Q221" t="s">
        <v>1034</v>
      </c>
      <c r="R221" s="19" t="s">
        <v>82</v>
      </c>
    </row>
    <row r="222" spans="1:18">
      <c r="A222" s="13" t="s">
        <v>675</v>
      </c>
      <c r="B222" s="15">
        <v>10</v>
      </c>
      <c r="C222" s="15">
        <v>1</v>
      </c>
      <c r="D222" s="15" t="s">
        <v>46</v>
      </c>
      <c r="E222" s="15">
        <v>2010</v>
      </c>
      <c r="F222" s="14" t="s">
        <v>1007</v>
      </c>
      <c r="G222" s="15" t="s">
        <v>676</v>
      </c>
      <c r="H222" s="15" t="s">
        <v>497</v>
      </c>
      <c r="I222" s="7" t="str">
        <f t="shared" si="9"/>
        <v>42.8979453</v>
      </c>
      <c r="J222" s="7">
        <f t="shared" si="10"/>
        <v>-0.80441079999999998</v>
      </c>
      <c r="K222" t="s">
        <v>842</v>
      </c>
      <c r="L222" t="s">
        <v>99</v>
      </c>
      <c r="M222" t="s">
        <v>986</v>
      </c>
      <c r="N222" s="3"/>
      <c r="O222" t="s">
        <v>88</v>
      </c>
      <c r="P222" t="s">
        <v>80</v>
      </c>
      <c r="Q222" t="s">
        <v>1034</v>
      </c>
      <c r="R222" s="19" t="s">
        <v>82</v>
      </c>
    </row>
    <row r="223" spans="1:18">
      <c r="A223" s="13" t="s">
        <v>679</v>
      </c>
      <c r="B223" s="14">
        <v>9</v>
      </c>
      <c r="C223" s="14">
        <v>1</v>
      </c>
      <c r="D223" s="15" t="s">
        <v>129</v>
      </c>
      <c r="E223" s="14">
        <v>2010</v>
      </c>
      <c r="F223" s="14" t="s">
        <v>1007</v>
      </c>
      <c r="G223" s="15" t="s">
        <v>130</v>
      </c>
      <c r="H223" s="15" t="s">
        <v>109</v>
      </c>
      <c r="I223" s="7" t="str">
        <f t="shared" si="9"/>
        <v>42.6112384</v>
      </c>
      <c r="J223" s="7">
        <f t="shared" si="10"/>
        <v>-4.9033899999999998E-2</v>
      </c>
      <c r="K223" t="s">
        <v>844</v>
      </c>
      <c r="L223" t="s">
        <v>99</v>
      </c>
      <c r="M223" t="s">
        <v>987</v>
      </c>
      <c r="N223" s="3"/>
      <c r="O223" t="s">
        <v>88</v>
      </c>
      <c r="P223" t="s">
        <v>80</v>
      </c>
      <c r="Q223" t="s">
        <v>1034</v>
      </c>
      <c r="R223" s="19" t="s">
        <v>82</v>
      </c>
    </row>
    <row r="224" spans="1:18">
      <c r="A224" s="13" t="s">
        <v>680</v>
      </c>
      <c r="B224" s="14">
        <v>6</v>
      </c>
      <c r="C224" s="14">
        <v>1</v>
      </c>
      <c r="D224" s="15" t="s">
        <v>32</v>
      </c>
      <c r="E224" s="14">
        <v>2010</v>
      </c>
      <c r="F224" s="14" t="s">
        <v>1007</v>
      </c>
      <c r="G224" s="15" t="s">
        <v>128</v>
      </c>
      <c r="H224" s="15" t="s">
        <v>529</v>
      </c>
      <c r="I224" s="7" t="str">
        <f t="shared" si="9"/>
        <v>42.7502889</v>
      </c>
      <c r="J224" s="7">
        <f t="shared" si="10"/>
        <v>-0.5202871</v>
      </c>
      <c r="K224" t="s">
        <v>771</v>
      </c>
      <c r="L224" t="s">
        <v>99</v>
      </c>
      <c r="M224" t="s">
        <v>988</v>
      </c>
      <c r="N224" s="3"/>
      <c r="O224" t="s">
        <v>88</v>
      </c>
      <c r="P224" t="s">
        <v>80</v>
      </c>
      <c r="Q224" t="s">
        <v>1034</v>
      </c>
      <c r="R224" s="19" t="s">
        <v>82</v>
      </c>
    </row>
    <row r="225" spans="1:18">
      <c r="A225" s="13" t="s">
        <v>681</v>
      </c>
      <c r="B225" s="14">
        <v>5</v>
      </c>
      <c r="C225" s="14">
        <v>1</v>
      </c>
      <c r="D225" s="15" t="s">
        <v>27</v>
      </c>
      <c r="E225" s="14">
        <v>2010</v>
      </c>
      <c r="F225" s="14" t="s">
        <v>1007</v>
      </c>
      <c r="G225" s="15" t="s">
        <v>127</v>
      </c>
      <c r="H225" s="15" t="s">
        <v>682</v>
      </c>
      <c r="I225" s="7" t="str">
        <f t="shared" si="9"/>
        <v>40.3724342</v>
      </c>
      <c r="J225" s="7">
        <f t="shared" si="10"/>
        <v>-1.5773185999999999</v>
      </c>
      <c r="K225" t="s">
        <v>845</v>
      </c>
      <c r="L225" t="s">
        <v>99</v>
      </c>
      <c r="M225" t="s">
        <v>1004</v>
      </c>
      <c r="N225" s="3"/>
      <c r="O225" t="s">
        <v>88</v>
      </c>
      <c r="P225" t="s">
        <v>80</v>
      </c>
      <c r="Q225" t="s">
        <v>1034</v>
      </c>
      <c r="R225" s="19" t="s">
        <v>285</v>
      </c>
    </row>
    <row r="226" spans="1:18">
      <c r="A226" s="13" t="s">
        <v>683</v>
      </c>
      <c r="B226" s="14">
        <v>4</v>
      </c>
      <c r="C226" s="14">
        <v>1</v>
      </c>
      <c r="D226" s="15" t="s">
        <v>21</v>
      </c>
      <c r="E226" s="14">
        <v>2010</v>
      </c>
      <c r="F226" s="14" t="s">
        <v>1007</v>
      </c>
      <c r="G226" s="15" t="s">
        <v>126</v>
      </c>
      <c r="H226" s="15" t="s">
        <v>465</v>
      </c>
      <c r="I226" s="7" t="str">
        <f t="shared" si="9"/>
        <v>42.3484685</v>
      </c>
      <c r="J226" s="7">
        <f t="shared" si="10"/>
        <v>-0.7282594</v>
      </c>
      <c r="K226" t="s">
        <v>846</v>
      </c>
      <c r="L226" t="s">
        <v>99</v>
      </c>
      <c r="M226" t="s">
        <v>879</v>
      </c>
      <c r="N226" s="3"/>
      <c r="O226" t="s">
        <v>88</v>
      </c>
      <c r="P226" t="s">
        <v>80</v>
      </c>
      <c r="Q226" t="s">
        <v>1034</v>
      </c>
      <c r="R226" s="19" t="s">
        <v>82</v>
      </c>
    </row>
    <row r="227" spans="1:18">
      <c r="A227" s="13" t="s">
        <v>684</v>
      </c>
      <c r="B227" s="14">
        <v>3</v>
      </c>
      <c r="C227" s="14">
        <v>1</v>
      </c>
      <c r="D227" s="15" t="s">
        <v>15</v>
      </c>
      <c r="E227" s="14">
        <v>2010</v>
      </c>
      <c r="F227" s="14" t="s">
        <v>1007</v>
      </c>
      <c r="G227" s="15" t="s">
        <v>125</v>
      </c>
      <c r="H227" s="15" t="s">
        <v>685</v>
      </c>
      <c r="I227" s="7" t="str">
        <f t="shared" si="9"/>
        <v>42.7131615</v>
      </c>
      <c r="J227" s="7">
        <f t="shared" si="10"/>
        <v>-0.32003280000000001</v>
      </c>
      <c r="K227" t="s">
        <v>847</v>
      </c>
      <c r="L227" t="s">
        <v>99</v>
      </c>
      <c r="M227" t="s">
        <v>989</v>
      </c>
      <c r="N227" s="3"/>
      <c r="O227" t="s">
        <v>88</v>
      </c>
      <c r="P227" t="s">
        <v>80</v>
      </c>
      <c r="Q227" t="s">
        <v>1034</v>
      </c>
      <c r="R227" s="19" t="s">
        <v>82</v>
      </c>
    </row>
    <row r="228" spans="1:18">
      <c r="A228" s="13" t="s">
        <v>686</v>
      </c>
      <c r="B228" s="14">
        <v>2</v>
      </c>
      <c r="C228" s="14">
        <v>1</v>
      </c>
      <c r="D228" s="15" t="s">
        <v>10</v>
      </c>
      <c r="E228" s="14">
        <v>2010</v>
      </c>
      <c r="F228" s="14" t="s">
        <v>1007</v>
      </c>
      <c r="G228" s="15" t="s">
        <v>124</v>
      </c>
      <c r="H228" s="15" t="s">
        <v>674</v>
      </c>
      <c r="I228" s="7" t="str">
        <f t="shared" si="9"/>
        <v>41.7308692</v>
      </c>
      <c r="J228" s="7">
        <f t="shared" si="10"/>
        <v>-1.6796218000000001</v>
      </c>
      <c r="K228" t="s">
        <v>841</v>
      </c>
      <c r="L228" t="s">
        <v>99</v>
      </c>
      <c r="M228" t="s">
        <v>985</v>
      </c>
      <c r="N228" s="3"/>
      <c r="O228" t="s">
        <v>88</v>
      </c>
      <c r="P228" t="s">
        <v>80</v>
      </c>
      <c r="Q228" t="s">
        <v>1034</v>
      </c>
      <c r="R228" s="19" t="s">
        <v>85</v>
      </c>
    </row>
    <row r="229" spans="1:18">
      <c r="A229" s="13" t="s">
        <v>687</v>
      </c>
      <c r="B229" s="14">
        <v>1</v>
      </c>
      <c r="C229" s="14">
        <v>1</v>
      </c>
      <c r="D229" s="15" t="s">
        <v>6</v>
      </c>
      <c r="E229" s="14">
        <v>2010</v>
      </c>
      <c r="F229" s="14" t="s">
        <v>1007</v>
      </c>
      <c r="G229" s="15" t="s">
        <v>123</v>
      </c>
      <c r="H229" s="15" t="s">
        <v>430</v>
      </c>
      <c r="I229" s="7" t="str">
        <f t="shared" si="9"/>
        <v>42.3152901</v>
      </c>
      <c r="J229" s="7">
        <f t="shared" si="10"/>
        <v>-0.43927529999999998</v>
      </c>
      <c r="K229" t="s">
        <v>848</v>
      </c>
      <c r="L229" t="s">
        <v>99</v>
      </c>
      <c r="M229" t="s">
        <v>1004</v>
      </c>
      <c r="N229" s="3"/>
      <c r="O229" t="s">
        <v>88</v>
      </c>
      <c r="P229" t="s">
        <v>80</v>
      </c>
      <c r="Q229" t="s">
        <v>1034</v>
      </c>
      <c r="R229" s="19" t="s">
        <v>82</v>
      </c>
    </row>
    <row r="230" spans="1:18">
      <c r="A230" s="13" t="s">
        <v>688</v>
      </c>
      <c r="B230" s="14">
        <v>12</v>
      </c>
      <c r="C230" s="14">
        <v>1</v>
      </c>
      <c r="D230" s="15" t="s">
        <v>121</v>
      </c>
      <c r="E230" s="14">
        <v>2009</v>
      </c>
      <c r="F230" s="14" t="s">
        <v>1007</v>
      </c>
      <c r="G230" s="15" t="s">
        <v>122</v>
      </c>
      <c r="H230" s="15" t="s">
        <v>122</v>
      </c>
      <c r="I230" s="7" t="str">
        <f t="shared" si="9"/>
        <v>42.5079551</v>
      </c>
      <c r="J230" s="7">
        <f t="shared" si="10"/>
        <v>-0.67069840000000003</v>
      </c>
      <c r="K230" t="s">
        <v>1038</v>
      </c>
      <c r="L230" t="s">
        <v>99</v>
      </c>
      <c r="M230" t="s">
        <v>1004</v>
      </c>
      <c r="N230" s="3"/>
      <c r="O230" t="s">
        <v>88</v>
      </c>
      <c r="P230" t="s">
        <v>80</v>
      </c>
      <c r="Q230" t="s">
        <v>1034</v>
      </c>
      <c r="R230" s="19" t="s">
        <v>82</v>
      </c>
    </row>
    <row r="231" spans="1:18">
      <c r="A231" s="13" t="s">
        <v>689</v>
      </c>
      <c r="B231" s="14">
        <v>10</v>
      </c>
      <c r="C231" s="14">
        <v>1</v>
      </c>
      <c r="D231" s="15" t="s">
        <v>46</v>
      </c>
      <c r="E231" s="14">
        <v>2009</v>
      </c>
      <c r="F231" s="14" t="s">
        <v>1007</v>
      </c>
      <c r="G231" s="15" t="s">
        <v>120</v>
      </c>
      <c r="H231" t="s">
        <v>529</v>
      </c>
      <c r="I231" s="7" t="str">
        <f t="shared" si="9"/>
        <v>42.7502889</v>
      </c>
      <c r="J231" s="7">
        <f t="shared" si="10"/>
        <v>-0.5202871</v>
      </c>
      <c r="K231" t="s">
        <v>849</v>
      </c>
      <c r="L231" t="s">
        <v>99</v>
      </c>
      <c r="M231" t="s">
        <v>1004</v>
      </c>
      <c r="N231" s="3"/>
      <c r="O231" t="s">
        <v>88</v>
      </c>
      <c r="P231" t="s">
        <v>80</v>
      </c>
      <c r="Q231" t="s">
        <v>1034</v>
      </c>
      <c r="R231" s="19" t="s">
        <v>82</v>
      </c>
    </row>
    <row r="232" spans="1:18">
      <c r="A232" s="13" t="s">
        <v>690</v>
      </c>
      <c r="B232" s="15">
        <v>7</v>
      </c>
      <c r="C232" s="15">
        <v>1</v>
      </c>
      <c r="D232" s="15" t="s">
        <v>36</v>
      </c>
      <c r="E232" s="15">
        <v>2009</v>
      </c>
      <c r="F232" s="14" t="s">
        <v>1007</v>
      </c>
      <c r="G232" s="15" t="s">
        <v>691</v>
      </c>
      <c r="H232" s="15" t="s">
        <v>515</v>
      </c>
      <c r="I232" s="7" t="str">
        <f t="shared" si="9"/>
        <v>42.7641664</v>
      </c>
      <c r="J232" s="7">
        <f t="shared" si="10"/>
        <v>-0.63656729999999995</v>
      </c>
      <c r="K232" t="s">
        <v>834</v>
      </c>
      <c r="L232" t="s">
        <v>99</v>
      </c>
      <c r="M232" t="s">
        <v>1004</v>
      </c>
      <c r="N232" s="3"/>
      <c r="O232" t="s">
        <v>88</v>
      </c>
      <c r="P232" t="s">
        <v>80</v>
      </c>
      <c r="Q232" t="s">
        <v>1034</v>
      </c>
      <c r="R232" s="19" t="s">
        <v>82</v>
      </c>
    </row>
    <row r="233" spans="1:18">
      <c r="A233" s="13" t="s">
        <v>690</v>
      </c>
      <c r="B233" s="15">
        <v>7</v>
      </c>
      <c r="C233" s="15">
        <v>1</v>
      </c>
      <c r="D233" s="15" t="s">
        <v>36</v>
      </c>
      <c r="E233" s="15">
        <v>2009</v>
      </c>
      <c r="F233" s="14" t="s">
        <v>1007</v>
      </c>
      <c r="G233" s="15" t="s">
        <v>692</v>
      </c>
      <c r="H233" s="15" t="s">
        <v>515</v>
      </c>
      <c r="I233" s="7" t="str">
        <f t="shared" si="9"/>
        <v>42.7641664</v>
      </c>
      <c r="J233" s="7">
        <f t="shared" si="10"/>
        <v>-0.63656729999999995</v>
      </c>
      <c r="K233" t="s">
        <v>834</v>
      </c>
      <c r="L233" t="s">
        <v>99</v>
      </c>
      <c r="M233" t="s">
        <v>1004</v>
      </c>
      <c r="N233" s="3"/>
      <c r="O233" t="s">
        <v>88</v>
      </c>
      <c r="P233" t="s">
        <v>80</v>
      </c>
      <c r="Q233" t="s">
        <v>1034</v>
      </c>
      <c r="R233" s="19" t="s">
        <v>82</v>
      </c>
    </row>
    <row r="234" spans="1:18">
      <c r="A234" s="13" t="s">
        <v>693</v>
      </c>
      <c r="B234" s="14">
        <v>6</v>
      </c>
      <c r="C234" s="14">
        <v>1</v>
      </c>
      <c r="D234" s="15" t="s">
        <v>32</v>
      </c>
      <c r="E234" s="14">
        <v>2009</v>
      </c>
      <c r="F234" s="14" t="s">
        <v>1007</v>
      </c>
      <c r="G234" s="15" t="s">
        <v>119</v>
      </c>
      <c r="H234" s="15" t="s">
        <v>424</v>
      </c>
      <c r="I234" s="7" t="str">
        <f t="shared" si="9"/>
        <v>41.7904033</v>
      </c>
      <c r="J234" s="7">
        <f t="shared" si="10"/>
        <v>-1.8201556999999999</v>
      </c>
      <c r="K234" t="s">
        <v>801</v>
      </c>
      <c r="L234" t="s">
        <v>99</v>
      </c>
      <c r="M234" t="s">
        <v>990</v>
      </c>
      <c r="N234" s="3"/>
      <c r="O234" t="s">
        <v>88</v>
      </c>
      <c r="P234" t="s">
        <v>80</v>
      </c>
      <c r="Q234" t="s">
        <v>1034</v>
      </c>
      <c r="R234" s="19" t="s">
        <v>85</v>
      </c>
    </row>
    <row r="235" spans="1:18">
      <c r="A235" s="13" t="s">
        <v>694</v>
      </c>
      <c r="B235" s="14">
        <v>5</v>
      </c>
      <c r="C235" s="14">
        <v>1</v>
      </c>
      <c r="D235" s="15" t="s">
        <v>27</v>
      </c>
      <c r="E235" s="14">
        <v>2009</v>
      </c>
      <c r="F235" s="14" t="s">
        <v>1007</v>
      </c>
      <c r="G235" s="15" t="s">
        <v>118</v>
      </c>
      <c r="H235" s="15" t="s">
        <v>695</v>
      </c>
      <c r="I235" s="7" t="str">
        <f t="shared" si="9"/>
        <v>42.6938482</v>
      </c>
      <c r="J235" s="7">
        <f t="shared" si="10"/>
        <v>-0.10937529999999999</v>
      </c>
      <c r="K235" t="s">
        <v>850</v>
      </c>
      <c r="L235" t="s">
        <v>99</v>
      </c>
      <c r="M235" t="s">
        <v>1004</v>
      </c>
      <c r="N235" s="3"/>
      <c r="O235" t="s">
        <v>88</v>
      </c>
      <c r="P235" t="s">
        <v>80</v>
      </c>
      <c r="Q235" t="s">
        <v>1034</v>
      </c>
      <c r="R235" s="19" t="s">
        <v>82</v>
      </c>
    </row>
    <row r="236" spans="1:18">
      <c r="A236" s="13" t="s">
        <v>696</v>
      </c>
      <c r="B236" s="14">
        <v>4</v>
      </c>
      <c r="C236" s="14">
        <v>1</v>
      </c>
      <c r="D236" s="15" t="s">
        <v>21</v>
      </c>
      <c r="E236" s="14">
        <v>2009</v>
      </c>
      <c r="F236" s="14" t="s">
        <v>1007</v>
      </c>
      <c r="G236" s="15" t="s">
        <v>117</v>
      </c>
      <c r="H236" s="15" t="s">
        <v>697</v>
      </c>
      <c r="I236" s="7" t="str">
        <f t="shared" si="9"/>
        <v>40.648002</v>
      </c>
      <c r="J236" s="7">
        <f t="shared" si="10"/>
        <v>-0.59473030000000005</v>
      </c>
      <c r="K236" t="s">
        <v>851</v>
      </c>
      <c r="L236" t="s">
        <v>99</v>
      </c>
      <c r="M236" t="s">
        <v>1004</v>
      </c>
      <c r="N236" s="3"/>
      <c r="O236" t="s">
        <v>88</v>
      </c>
      <c r="P236" t="s">
        <v>80</v>
      </c>
      <c r="Q236" t="s">
        <v>1034</v>
      </c>
      <c r="R236" s="19" t="s">
        <v>285</v>
      </c>
    </row>
    <row r="237" spans="1:18">
      <c r="A237" s="13" t="s">
        <v>698</v>
      </c>
      <c r="B237" s="14">
        <v>3</v>
      </c>
      <c r="C237" s="14">
        <v>1</v>
      </c>
      <c r="D237" s="15" t="s">
        <v>15</v>
      </c>
      <c r="E237" s="14">
        <v>2009</v>
      </c>
      <c r="F237" s="14" t="s">
        <v>1007</v>
      </c>
      <c r="G237" s="15" t="s">
        <v>116</v>
      </c>
      <c r="H237" s="15" t="s">
        <v>699</v>
      </c>
      <c r="I237" s="7" t="str">
        <f t="shared" si="9"/>
        <v>42.3256692</v>
      </c>
      <c r="J237" s="7">
        <f t="shared" si="10"/>
        <v>-0.61496090000000003</v>
      </c>
      <c r="K237" t="s">
        <v>852</v>
      </c>
      <c r="L237" t="s">
        <v>99</v>
      </c>
      <c r="M237" t="s">
        <v>1004</v>
      </c>
      <c r="N237" s="3"/>
      <c r="O237" t="s">
        <v>88</v>
      </c>
      <c r="P237" t="s">
        <v>80</v>
      </c>
      <c r="Q237" t="s">
        <v>1034</v>
      </c>
      <c r="R237" s="19" t="s">
        <v>82</v>
      </c>
    </row>
    <row r="238" spans="1:18">
      <c r="A238" s="13" t="s">
        <v>700</v>
      </c>
      <c r="B238" s="14">
        <v>2</v>
      </c>
      <c r="C238" s="14">
        <v>1</v>
      </c>
      <c r="D238" s="15" t="s">
        <v>10</v>
      </c>
      <c r="E238" s="14">
        <v>2009</v>
      </c>
      <c r="F238" s="14" t="s">
        <v>1007</v>
      </c>
      <c r="G238" s="15" t="s">
        <v>115</v>
      </c>
      <c r="H238" s="15" t="s">
        <v>343</v>
      </c>
      <c r="I238" s="7" t="str">
        <f t="shared" si="9"/>
        <v>42.6956949</v>
      </c>
      <c r="J238" s="7">
        <f t="shared" si="10"/>
        <v>-0.32664290000000001</v>
      </c>
      <c r="K238" t="s">
        <v>853</v>
      </c>
      <c r="L238" t="s">
        <v>99</v>
      </c>
      <c r="M238" t="s">
        <v>991</v>
      </c>
      <c r="N238" s="3"/>
      <c r="O238" t="s">
        <v>88</v>
      </c>
      <c r="P238" t="s">
        <v>80</v>
      </c>
      <c r="Q238" t="s">
        <v>1034</v>
      </c>
      <c r="R238" s="19" t="s">
        <v>82</v>
      </c>
    </row>
    <row r="239" spans="1:18">
      <c r="A239" s="13" t="s">
        <v>701</v>
      </c>
      <c r="B239" s="14">
        <v>1</v>
      </c>
      <c r="C239" s="14">
        <v>1</v>
      </c>
      <c r="D239" s="15" t="s">
        <v>6</v>
      </c>
      <c r="E239" s="14">
        <v>2009</v>
      </c>
      <c r="F239" s="14" t="s">
        <v>1007</v>
      </c>
      <c r="G239" s="15" t="s">
        <v>114</v>
      </c>
      <c r="H239" s="15" t="s">
        <v>114</v>
      </c>
      <c r="I239" s="7" t="str">
        <f t="shared" si="9"/>
        <v>41.6074146</v>
      </c>
      <c r="J239" s="7">
        <f t="shared" si="10"/>
        <v>-0.75635940000000002</v>
      </c>
      <c r="K239" t="s">
        <v>854</v>
      </c>
      <c r="L239" t="s">
        <v>99</v>
      </c>
      <c r="M239" t="s">
        <v>1004</v>
      </c>
      <c r="N239" s="3"/>
      <c r="O239" t="s">
        <v>88</v>
      </c>
      <c r="P239" t="s">
        <v>80</v>
      </c>
      <c r="Q239" t="s">
        <v>1034</v>
      </c>
      <c r="R239" s="19" t="s">
        <v>85</v>
      </c>
    </row>
    <row r="240" spans="1:18">
      <c r="A240" s="13" t="s">
        <v>702</v>
      </c>
      <c r="B240" s="14">
        <v>11</v>
      </c>
      <c r="C240" s="14">
        <v>1</v>
      </c>
      <c r="D240" s="15" t="s">
        <v>56</v>
      </c>
      <c r="E240" s="14">
        <v>2008</v>
      </c>
      <c r="F240" s="14" t="s">
        <v>1007</v>
      </c>
      <c r="G240" s="15" t="s">
        <v>113</v>
      </c>
      <c r="H240" s="15" t="s">
        <v>703</v>
      </c>
      <c r="I240" s="7" t="str">
        <f t="shared" si="9"/>
        <v>42.6151132</v>
      </c>
      <c r="J240" s="7">
        <f t="shared" si="10"/>
        <v>-1.1177876</v>
      </c>
      <c r="K240" t="s">
        <v>855</v>
      </c>
      <c r="L240" t="s">
        <v>99</v>
      </c>
      <c r="M240" t="s">
        <v>1004</v>
      </c>
      <c r="N240" s="3"/>
      <c r="O240" t="s">
        <v>88</v>
      </c>
      <c r="P240" t="s">
        <v>80</v>
      </c>
      <c r="Q240" t="s">
        <v>1034</v>
      </c>
      <c r="R240" s="19" t="s">
        <v>85</v>
      </c>
    </row>
    <row r="241" spans="1:18">
      <c r="A241" s="13" t="s">
        <v>704</v>
      </c>
      <c r="B241" s="14">
        <v>10</v>
      </c>
      <c r="C241" s="14">
        <v>1</v>
      </c>
      <c r="D241" s="15" t="s">
        <v>46</v>
      </c>
      <c r="E241" s="14">
        <v>2008</v>
      </c>
      <c r="F241" s="14" t="s">
        <v>1007</v>
      </c>
      <c r="G241" s="15" t="s">
        <v>112</v>
      </c>
      <c r="H241" s="15" t="s">
        <v>657</v>
      </c>
      <c r="I241" s="7" t="str">
        <f t="shared" si="9"/>
        <v>42.7728628</v>
      </c>
      <c r="J241" s="7">
        <f t="shared" si="10"/>
        <v>-0.33615020000000001</v>
      </c>
      <c r="K241" t="s">
        <v>1037</v>
      </c>
      <c r="L241" t="s">
        <v>99</v>
      </c>
      <c r="M241" t="s">
        <v>1004</v>
      </c>
      <c r="N241" s="3"/>
      <c r="O241" t="s">
        <v>88</v>
      </c>
      <c r="P241" t="s">
        <v>80</v>
      </c>
      <c r="Q241" t="s">
        <v>1034</v>
      </c>
      <c r="R241" s="19" t="s">
        <v>82</v>
      </c>
    </row>
    <row r="242" spans="1:18">
      <c r="A242" s="13" t="s">
        <v>705</v>
      </c>
      <c r="B242" s="14">
        <v>7</v>
      </c>
      <c r="C242" s="14">
        <v>1</v>
      </c>
      <c r="D242" s="15" t="s">
        <v>36</v>
      </c>
      <c r="E242" s="14">
        <v>2008</v>
      </c>
      <c r="F242" s="14" t="s">
        <v>1007</v>
      </c>
      <c r="G242" s="15" t="s">
        <v>111</v>
      </c>
      <c r="H242" s="15" t="s">
        <v>706</v>
      </c>
      <c r="I242" s="7" t="str">
        <f t="shared" si="9"/>
        <v>42.6788306</v>
      </c>
      <c r="J242" s="7">
        <f t="shared" si="10"/>
        <v>0.64747520000000003</v>
      </c>
      <c r="K242" t="s">
        <v>856</v>
      </c>
      <c r="L242" t="s">
        <v>99</v>
      </c>
      <c r="M242" t="s">
        <v>1004</v>
      </c>
      <c r="N242" s="3"/>
      <c r="O242" t="s">
        <v>88</v>
      </c>
      <c r="P242" t="s">
        <v>80</v>
      </c>
      <c r="Q242" t="s">
        <v>1034</v>
      </c>
      <c r="R242" s="19" t="s">
        <v>82</v>
      </c>
    </row>
    <row r="243" spans="1:18">
      <c r="A243" s="13" t="s">
        <v>707</v>
      </c>
      <c r="B243" s="14">
        <v>6</v>
      </c>
      <c r="C243" s="14">
        <v>1</v>
      </c>
      <c r="D243" s="15" t="s">
        <v>32</v>
      </c>
      <c r="E243" s="14">
        <v>2008</v>
      </c>
      <c r="F243" s="14" t="s">
        <v>1007</v>
      </c>
      <c r="G243" s="15" t="s">
        <v>110</v>
      </c>
      <c r="H243" s="15" t="s">
        <v>708</v>
      </c>
      <c r="I243" s="7" t="str">
        <f t="shared" si="9"/>
        <v>42.679518</v>
      </c>
      <c r="J243" s="7">
        <f t="shared" si="10"/>
        <v>-0.5385392</v>
      </c>
      <c r="K243" t="s">
        <v>857</v>
      </c>
      <c r="L243" t="s">
        <v>99</v>
      </c>
      <c r="M243" t="s">
        <v>1004</v>
      </c>
      <c r="N243" s="3"/>
      <c r="O243" t="s">
        <v>88</v>
      </c>
      <c r="P243" t="s">
        <v>80</v>
      </c>
      <c r="Q243" t="s">
        <v>1034</v>
      </c>
      <c r="R243" s="19" t="s">
        <v>82</v>
      </c>
    </row>
    <row r="244" spans="1:18">
      <c r="A244" s="13" t="s">
        <v>709</v>
      </c>
      <c r="B244" s="14">
        <v>5</v>
      </c>
      <c r="C244" s="14">
        <v>1</v>
      </c>
      <c r="D244" s="15" t="s">
        <v>27</v>
      </c>
      <c r="E244" s="14">
        <v>2008</v>
      </c>
      <c r="F244" s="14" t="s">
        <v>1007</v>
      </c>
      <c r="G244" s="15" t="s">
        <v>109</v>
      </c>
      <c r="H244" s="15" t="s">
        <v>109</v>
      </c>
      <c r="I244" s="7" t="str">
        <f t="shared" si="9"/>
        <v>42.6112384</v>
      </c>
      <c r="J244" s="7">
        <f t="shared" si="10"/>
        <v>-4.9033899999999998E-2</v>
      </c>
      <c r="K244" t="s">
        <v>844</v>
      </c>
      <c r="L244" t="s">
        <v>99</v>
      </c>
      <c r="M244" t="s">
        <v>1004</v>
      </c>
      <c r="N244" s="3"/>
      <c r="O244" t="s">
        <v>88</v>
      </c>
      <c r="P244" t="s">
        <v>80</v>
      </c>
      <c r="Q244" t="s">
        <v>1034</v>
      </c>
      <c r="R244" s="19" t="s">
        <v>82</v>
      </c>
    </row>
    <row r="245" spans="1:18">
      <c r="A245" s="13" t="s">
        <v>710</v>
      </c>
      <c r="B245" s="14">
        <v>4</v>
      </c>
      <c r="C245" s="14">
        <v>1</v>
      </c>
      <c r="D245" s="15" t="s">
        <v>21</v>
      </c>
      <c r="E245" s="14">
        <v>2008</v>
      </c>
      <c r="F245" s="14" t="s">
        <v>1007</v>
      </c>
      <c r="G245" s="15" t="s">
        <v>108</v>
      </c>
      <c r="H245" s="15" t="s">
        <v>430</v>
      </c>
      <c r="I245" s="7" t="str">
        <f t="shared" si="9"/>
        <v>42.3152901</v>
      </c>
      <c r="J245" s="7">
        <f t="shared" si="10"/>
        <v>-0.43927529999999998</v>
      </c>
      <c r="K245" t="s">
        <v>848</v>
      </c>
      <c r="L245" t="s">
        <v>99</v>
      </c>
      <c r="M245" t="s">
        <v>992</v>
      </c>
      <c r="N245" s="3"/>
      <c r="O245" t="s">
        <v>88</v>
      </c>
      <c r="P245" t="s">
        <v>80</v>
      </c>
      <c r="Q245" t="s">
        <v>1034</v>
      </c>
      <c r="R245" s="19" t="s">
        <v>82</v>
      </c>
    </row>
    <row r="246" spans="1:18">
      <c r="A246" s="13" t="s">
        <v>711</v>
      </c>
      <c r="B246" s="14">
        <v>3</v>
      </c>
      <c r="C246" s="14">
        <v>1</v>
      </c>
      <c r="D246" s="15" t="s">
        <v>15</v>
      </c>
      <c r="E246" s="14">
        <v>2008</v>
      </c>
      <c r="F246" s="14" t="s">
        <v>1007</v>
      </c>
      <c r="G246" s="15" t="s">
        <v>107</v>
      </c>
      <c r="H246" s="15" t="s">
        <v>670</v>
      </c>
      <c r="I246" s="7" t="str">
        <f t="shared" si="9"/>
        <v>42.486595</v>
      </c>
      <c r="J246" s="7">
        <f t="shared" si="10"/>
        <v>-0.28305079999999999</v>
      </c>
      <c r="K246" t="s">
        <v>838</v>
      </c>
      <c r="L246" t="s">
        <v>99</v>
      </c>
      <c r="M246" t="s">
        <v>982</v>
      </c>
      <c r="N246" s="3"/>
      <c r="O246" t="s">
        <v>88</v>
      </c>
      <c r="P246" t="s">
        <v>80</v>
      </c>
      <c r="Q246" t="s">
        <v>1034</v>
      </c>
      <c r="R246" s="19" t="s">
        <v>82</v>
      </c>
    </row>
    <row r="247" spans="1:18">
      <c r="A247" s="13" t="s">
        <v>712</v>
      </c>
      <c r="B247" s="14">
        <v>2</v>
      </c>
      <c r="C247" s="14">
        <v>1</v>
      </c>
      <c r="D247" s="15" t="s">
        <v>10</v>
      </c>
      <c r="E247" s="14">
        <v>2008</v>
      </c>
      <c r="F247" s="14" t="s">
        <v>1007</v>
      </c>
      <c r="G247" s="15" t="s">
        <v>106</v>
      </c>
      <c r="H247" s="15" t="s">
        <v>106</v>
      </c>
      <c r="I247" s="7" t="str">
        <f t="shared" si="9"/>
        <v>42.3040598</v>
      </c>
      <c r="J247" s="7">
        <f t="shared" si="10"/>
        <v>-0.57880589999999998</v>
      </c>
      <c r="K247" t="s">
        <v>858</v>
      </c>
      <c r="L247" t="s">
        <v>99</v>
      </c>
      <c r="M247" t="s">
        <v>1004</v>
      </c>
      <c r="N247" s="3"/>
      <c r="O247" t="s">
        <v>88</v>
      </c>
      <c r="P247" t="s">
        <v>80</v>
      </c>
      <c r="Q247" t="s">
        <v>1034</v>
      </c>
      <c r="R247" s="19" t="s">
        <v>82</v>
      </c>
    </row>
    <row r="248" spans="1:18">
      <c r="A248" s="13" t="s">
        <v>713</v>
      </c>
      <c r="B248" s="14">
        <v>1</v>
      </c>
      <c r="C248" s="14">
        <v>1</v>
      </c>
      <c r="D248" s="15" t="s">
        <v>6</v>
      </c>
      <c r="E248" s="14">
        <v>2008</v>
      </c>
      <c r="F248" s="14" t="s">
        <v>1007</v>
      </c>
      <c r="G248" s="15" t="s">
        <v>105</v>
      </c>
      <c r="H248" s="15" t="s">
        <v>414</v>
      </c>
      <c r="I248" s="7" t="str">
        <f t="shared" si="9"/>
        <v>42.5726321</v>
      </c>
      <c r="J248" s="7">
        <f t="shared" si="10"/>
        <v>-0.55839329999999998</v>
      </c>
      <c r="K248" t="s">
        <v>859</v>
      </c>
      <c r="L248" t="s">
        <v>99</v>
      </c>
      <c r="M248" t="s">
        <v>1004</v>
      </c>
      <c r="N248" s="3"/>
      <c r="O248" t="s">
        <v>88</v>
      </c>
      <c r="P248" t="s">
        <v>80</v>
      </c>
      <c r="Q248" t="s">
        <v>1034</v>
      </c>
      <c r="R248" s="19" t="s">
        <v>82</v>
      </c>
    </row>
    <row r="249" spans="1:18">
      <c r="A249" s="13" t="s">
        <v>714</v>
      </c>
      <c r="B249" s="14">
        <v>1</v>
      </c>
      <c r="C249" s="14">
        <v>1</v>
      </c>
      <c r="D249" s="15" t="s">
        <v>6</v>
      </c>
      <c r="E249" s="14">
        <v>2007</v>
      </c>
      <c r="F249" s="14" t="s">
        <v>1006</v>
      </c>
      <c r="G249" s="15" t="s">
        <v>996</v>
      </c>
      <c r="H249" t="s">
        <v>997</v>
      </c>
      <c r="I249" s="7" t="str">
        <f t="shared" si="9"/>
        <v>41.6529037</v>
      </c>
      <c r="J249" s="7">
        <f t="shared" si="10"/>
        <v>-0.87778060000000002</v>
      </c>
      <c r="K249" t="s">
        <v>998</v>
      </c>
      <c r="L249" t="s">
        <v>99</v>
      </c>
      <c r="M249" t="s">
        <v>1004</v>
      </c>
      <c r="O249" t="s">
        <v>88</v>
      </c>
      <c r="P249" t="s">
        <v>80</v>
      </c>
      <c r="Q249" t="s">
        <v>1034</v>
      </c>
      <c r="R249" s="19" t="s">
        <v>85</v>
      </c>
    </row>
    <row r="250" spans="1:18">
      <c r="A250" s="13" t="s">
        <v>715</v>
      </c>
      <c r="B250" s="14">
        <v>1</v>
      </c>
      <c r="C250" s="14">
        <v>1</v>
      </c>
      <c r="D250" s="15" t="s">
        <v>6</v>
      </c>
      <c r="E250" s="14">
        <v>2006</v>
      </c>
      <c r="F250" s="14" t="s">
        <v>1006</v>
      </c>
      <c r="G250" s="15" t="s">
        <v>996</v>
      </c>
      <c r="H250" t="s">
        <v>997</v>
      </c>
      <c r="I250" s="7" t="str">
        <f t="shared" si="9"/>
        <v>41.6529037</v>
      </c>
      <c r="J250" s="7">
        <f t="shared" si="10"/>
        <v>-0.87778060000000002</v>
      </c>
      <c r="K250" t="s">
        <v>998</v>
      </c>
      <c r="L250" t="s">
        <v>99</v>
      </c>
      <c r="M250" t="s">
        <v>1004</v>
      </c>
      <c r="O250" t="s">
        <v>88</v>
      </c>
      <c r="P250" t="s">
        <v>80</v>
      </c>
      <c r="Q250" t="s">
        <v>1034</v>
      </c>
      <c r="R250" s="19" t="s">
        <v>85</v>
      </c>
    </row>
  </sheetData>
  <autoFilter ref="A1:R250" xr:uid="{0F92D137-B0F7-489C-BBD5-87D14D584D75}">
    <sortState xmlns:xlrd2="http://schemas.microsoft.com/office/spreadsheetml/2017/richdata2" ref="A2:R250">
      <sortCondition descending="1" ref="A1:A250"/>
    </sortState>
  </autoFilter>
  <phoneticPr fontId="8" type="noConversion"/>
  <hyperlinks>
    <hyperlink ref="N18" r:id="rId1" xr:uid="{2E8E1893-4FFD-42E3-BDD5-1673A13313C0}"/>
    <hyperlink ref="N13" r:id="rId2" xr:uid="{584A6DDB-921A-47DF-8256-2D8B45E48A50}"/>
    <hyperlink ref="M12" r:id="rId3" tooltip="Protegido por Outlook: https://es.wikiloc.com/rutas-senderismo/circular-sierra-del-moncayo-santuario-moncayo-collado-bellido-santuario-gr-86-y-gr-90-1-14260797. Haga clic o pulse para seguir el vínculo." display="https://emea01.safelinks.protection.outlook.com/?url=https%3A%2F%2Fes.wikiloc.com%2Frutas-senderismo%2Fcircular-sierra-del-moncayo-santuario-moncayo-collado-bellido-santuario-gr-86-y-gr-90-1-14260797&amp;data=05%7C02%7C%7C8977aa541b6a4ab85ad208dd9c87bbbf%7C84df9e7fe9f640afb435aaaaaaaaaaaa%7C1%7C0%7C638838828958706113%7CUnknown%7CTWFpbGZsb3d8eyJFbXB0eU1hcGkiOnRydWUsIlYiOiIwLjAuMDAwMCIsIlAiOiJXaW4zMiIsIkFOIjoiTWFpbCIsIldUIjoyfQ%3D%3D%7C0%7C%7C%7C&amp;sdata=WNuK7zYvXpe73hqtRANct2Qwxzcy8aUNn7WQKQWvWsE%3D&amp;reserved=0" xr:uid="{6842CE03-4CE1-4637-8249-F0C339332CF8}"/>
    <hyperlink ref="M13" r:id="rId4" tooltip="Protegido por Outlook: https://es.wikiloc.com/rutas-senderismo/camino-natural-de-castejon-de-monegros-recorrido-ciruclar-212517293. Haga clic o pulse para seguir el vínculo." display="https://emea01.safelinks.protection.outlook.com/?url=https%3A%2F%2Fes.wikiloc.com%2Frutas-senderismo%2Fcamino-natural-de-castejon-de-monegros-recorrido-ciruclar-212517293&amp;data=05%7C02%7C%7Cbe2809980ae34569333408dd8f2962cb%7C84df9e7fe9f640afb435aaaaaaaaaaaa%7C1%7C0%7C638824130090556107%7CUnknown%7CTWFpbGZsb3d8eyJFbXB0eU1hcGkiOnRydWUsIlYiOiIwLjAuMDAwMCIsIlAiOiJXaW4zMiIsIkFOIjoiTWFpbCIsIldUIjoyfQ%3D%3D%7C0%7C%7C%7C&amp;sdata=eRpxfkjHv5f2Z3qL6onvNFm5ZKvRh9%2FsXEbkSkKIAx0%3D&amp;reserved=0" xr:uid="{FED1D55A-58F4-4E18-AFFC-E7CA71B7D73C}"/>
    <hyperlink ref="M2" r:id="rId5" tooltip="Protegido por Outlook: https://loc.wiki/t/241354682?h=2zl67lldzo&amp;wa=so&amp;la=es. Haga clic o pulse para seguir el vínculo." display="https://emea01.safelinks.protection.outlook.com/?url=https%3A%2F%2Floc.wiki%2Ft%2F241354682%3Fh%3D2zl67lldzo%26wa%3Dso%26la%3Des&amp;data=05%7C02%7C%7C812af8534d164f9ad6b108de381b76c9%7C84df9e7fe9f640afb435aaaaaaaaaaaa%7C1%7C0%7C639009887946547961%7CUnknown%7CTWFpbGZsb3d8eyJFbXB0eU1hcGkiOnRydWUsIlYiOiIwLjAuMDAwMCIsIlAiOiJXaW4zMiIsIkFOIjoiTWFpbCIsIldUIjoyfQ%3D%3D%7C0%7C%7C%7C&amp;sdata=zWG4nPAAwW%2BWLVsObJT3%2BIWGzAcOo5pb4lTEWam9rN0%3D&amp;reserved=0" xr:uid="{811BEB6A-C1EF-47BC-A43F-BE68818FC96B}"/>
    <hyperlink ref="M3" r:id="rId6" tooltip="Protegido por Outlook: https://loc.wiki/t/11281634?h=6lpn4ldaz8&amp;wa=sd&amp;la=es. Haga clic o pulse para seguir el vínculo." display="https://emea01.safelinks.protection.outlook.com/?url=https%3A%2F%2Floc.wiki%2Ft%2F11281634%3Fh%3D6lpn4ldaz8%26wa%3Dsd%26la%3Des&amp;data=05%7C02%7C%7C03067d25e0354a894be408de1be19080%7C84df9e7fe9f640afb435aaaaaaaaaaaa%7C1%7C0%7C638978852756375713%7CUnknown%7CTWFpbGZsb3d8eyJFbXB0eU1hcGkiOnRydWUsIlYiOiIwLjAuMDAwMCIsIlAiOiJXaW4zMiIsIkFOIjoiTWFpbCIsIldUIjoyfQ%3D%3D%7C0%7C%7C%7C&amp;sdata=3SoTy0wBnXLCh03RQ6NJ3dAto2Z6Pg5m9lmQNi5F8io%3D&amp;reserved=0" xr:uid="{98E1595E-7FA4-402F-A903-05BE5243A72C}"/>
    <hyperlink ref="M4" r:id="rId7" tooltip="Protegido por Outlook: https://loc.wiki/t/218694610?h=6lpn4ldaz8&amp;wa=sd&amp;la=es. Haga clic o pulse para seguir el vínculo." display="https://emea01.safelinks.protection.outlook.com/?url=https%3A%2F%2Floc.wiki%2Ft%2F218694610%3Fh%3D6lpn4ldaz8%26wa%3Dsd%26la%3Des&amp;data=05%7C02%7C%7C03067d25e0354a894be408de1be19080%7C84df9e7fe9f640afb435aaaaaaaaaaaa%7C1%7C0%7C638978852756353738%7CUnknown%7CTWFpbGZsb3d8eyJFbXB0eU1hcGkiOnRydWUsIlYiOiIwLjAuMDAwMCIsIlAiOiJXaW4zMiIsIkFOIjoiTWFpbCIsIldUIjoyfQ%3D%3D%7C0%7C%7C%7C&amp;sdata=oOMgvoJFAzEWyEXicRgzwhrCWV0VjWsMp4B9JdjqcMQ%3D&amp;reserved=0" xr:uid="{2CD54AAD-A0B2-4713-81B6-79B9E5AE1D9F}"/>
    <hyperlink ref="M5" r:id="rId8" tooltip="Protegido por Outlook: https://loc.wiki/t/2334169?h=6lpn4ldaz8&amp;wa=sd&amp;la=es. Haga clic o pulse para seguir el vínculo." display="https://emea01.safelinks.protection.outlook.com/?url=https%3A%2F%2Floc.wiki%2Ft%2F2334169%3Fh%3D6lpn4ldaz8%26wa%3Dsd%26la%3Des&amp;data=05%7C02%7C%7Cb37717b8a38c49aea2f908de05d6895d%7C84df9e7fe9f640afb435aaaaaaaaaaaa%7C1%7C0%7C638954616171400441%7CUnknown%7CTWFpbGZsb3d8eyJFbXB0eU1hcGkiOnRydWUsIlYiOiIwLjAuMDAwMCIsIlAiOiJXaW4zMiIsIkFOIjoiTWFpbCIsIldUIjoyfQ%3D%3D%7C0%7C%7C%7C&amp;sdata=cvkDFHACyZe1UlMsFBgWsFDJ8eyfg8YxfWgxthp1i2k%3D&amp;reserved=0" xr:uid="{040145AF-32B1-4DD0-983E-4346D708BFED}"/>
    <hyperlink ref="M8" r:id="rId9" xr:uid="{3D9DA804-152A-45BF-BDEF-3F6F5EFD7069}"/>
    <hyperlink ref="M10" r:id="rId10" tooltip="Protegido por Outlook: https://gl.wikiloc.com/rutas-sendeirismo/panticosa-dedo-de-yenefrito-pr-hu-95-pista-del-verde-cascada-de-forronias-panticosa-133316057. Haga clic o pulse para seguir el vínculo." display="https://emea01.safelinks.protection.outlook.com/?url=https%3A%2F%2Fgl.wikiloc.com%2Frutas-sendeirismo%2Fpanticosa-dedo-de-yenefrito-pr-hu-95-pista-del-verde-cascada-de-forronias-panticosa-133316057&amp;data=05%7C02%7C%7C5bb015c0cce74fcd737008ddbf15ce29%7C84df9e7fe9f640afb435aaaaaaaaaaaa%7C1%7C0%7C638876822550612542%7CUnknown%7CTWFpbGZsb3d8eyJFbXB0eU1hcGkiOnRydWUsIlYiOiIwLjAuMDAwMCIsIlAiOiJXaW4zMiIsIkFOIjoiTWFpbCIsIldUIjoyfQ%3D%3D%7C0%7C%7C%7C&amp;sdata=J65AuQuvBlU0n%2Bdj5OM77cTWFg0ZWEKYFI2EBhAltHs%3D&amp;reserved=0" xr:uid="{28E77985-25F8-41B8-A724-E192DF9F4694}"/>
    <hyperlink ref="M15" r:id="rId11" tooltip="Protegido por Outlook: https://ca.wikiloc.com/rutes-senderisme/una-las-catedrales-la-raya-el-escaleron-una-cuenca-97389511?utm_medium=app&amp;utm_campaign=share&amp;utm_source=1919134. Haga clic o pulse para seguir el vínculo." display="https://emea01.safelinks.protection.outlook.com/?url=https%3A%2F%2Fca.wikiloc.com%2Frutes-senderisme%2Funa-las-catedrales-la-raya-el-escaleron-una-cuenca-97389511%3Futm_medium%3Dapp%26utm_campaign%3Dshare%26utm_source%3D1919134&amp;data=05%7C02%7C%7C2ea8c470290c485c6ec208dd67e8f9a7%7C84df9e7fe9f640afb435aaaaaaaaaaaa%7C1%7C0%7C638780972554775830%7CUnknown%7CTWFpbGZsb3d8eyJFbXB0eU1hcGkiOnRydWUsIlYiOiIwLjAuMDAwMCIsIlAiOiJXaW4zMiIsIkFOIjoiTWFpbCIsIldUIjoyfQ%3D%3D%7C0%7C%7C%7C&amp;sdata=80ZbRunXqt%2BHqoumOSC1X0GHWXqjwhm3kYQ8gmNAyvo%3D&amp;reserved=0" xr:uid="{C64A902E-BB52-4351-862A-A4794DAFE48F}"/>
    <hyperlink ref="M17" r:id="rId12" tooltip="Protegido por Outlook: https://es.wikiloc.com/rutas-mountain-bike/deltebre-sant-jaume-denveja-la-punta-de-la-banya-eucaliptus-els-muntells-sant-jaume-denveja-deltebr-28036377. Haga clic o pulse para seguir el vínculo." display="https://emea01.safelinks.protection.outlook.com/?url=https%3A%2F%2Fes.wikiloc.com%2Frutas-mountain-bike%2Fdeltebre-sant-jaume-denveja-la-punta-de-la-banya-eucaliptus-els-muntells-sant-jaume-denveja-deltebr-28036377&amp;data=05%7C02%7C%7C0c9d51e79bd94254b89e08dd50562c9b%7C84df9e7fe9f640afb435aaaaaaaaaaaa%7C1%7C0%7C638755053227665270%7CUnknown%7CTWFpbGZsb3d8eyJFbXB0eU1hcGkiOnRydWUsIlYiOiIwLjAuMDAwMCIsIlAiOiJXaW4zMiIsIkFOIjoiTWFpbCIsIldUIjoyfQ%3D%3D%7C0%7C%7C%7C&amp;sdata=F5CEoFOOrpgVsWMD4CEocl%2F7iCHVRJGHB2mfIk9HeOQ%3D&amp;reserved=0" xr:uid="{D6E2C82D-259F-4EC4-A848-B8CBD4D1AF6E}"/>
    <hyperlink ref="M16" r:id="rId13" tooltip="Protegido por Outlook: https://ca.wikiloc.com/rutes-cicloturisme/02-pnde-b-ecomuseu-desembocadura-163742410. Haga clic o pulse para seguir el vínculo." display="https://emea01.safelinks.protection.outlook.com/?url=https%3A%2F%2Fca.wikiloc.com%2Frutes-cicloturisme%2F02-pnde-b-ecomuseu-desembocadura-163742410&amp;data=05%7C02%7C%7C0c9d51e79bd94254b89e08dd50562c9b%7C84df9e7fe9f640afb435aaaaaaaaaaaa%7C1%7C0%7C638755053227696447%7CUnknown%7CTWFpbGZsb3d8eyJFbXB0eU1hcGkiOnRydWUsIlYiOiIwLjAuMDAwMCIsIlAiOiJXaW4zMiIsIkFOIjoiTWFpbCIsIldUIjoyfQ%3D%3D%7C0%7C%7C%7C&amp;sdata=dmjUv0WMgHQRDqgykFhMPh0BMDkGIdSHNOO7nMIb%2F%2Fo%3D&amp;reserved=0" xr:uid="{486201CD-466A-4D17-A81B-AB165A6D3873}"/>
    <hyperlink ref="N77" r:id="rId14" xr:uid="{3A8CBC92-A08C-491C-96BE-835F6DC226C5}"/>
    <hyperlink ref="N74" r:id="rId15" xr:uid="{75817DB8-15CF-4866-95F5-1B9142141E15}"/>
    <hyperlink ref="N72" r:id="rId16" xr:uid="{34EFA958-38F7-484F-BE05-FB03009C5959}"/>
    <hyperlink ref="N71" r:id="rId17" xr:uid="{B9894A77-B159-4DCF-8BA0-FC9230377ED2}"/>
    <hyperlink ref="N70" r:id="rId18" xr:uid="{DBDF9FDC-D94A-4505-BCF9-910A9427E28E}"/>
    <hyperlink ref="N69" r:id="rId19" xr:uid="{84A13B48-8CAA-430E-AD0A-969FCB20A85E}"/>
    <hyperlink ref="N68" r:id="rId20" xr:uid="{342E29E3-005E-4AE4-8269-7F0012AD7E18}"/>
    <hyperlink ref="N66" r:id="rId21" xr:uid="{100257CF-B4C2-4A5E-818C-48B28D868337}"/>
    <hyperlink ref="N63" r:id="rId22" xr:uid="{69EDE821-18D4-4DB5-AA15-6FC022A1979A}"/>
    <hyperlink ref="N61" r:id="rId23" xr:uid="{A4C73427-7E90-4EE6-A0E2-73E15D2C1C9F}"/>
    <hyperlink ref="N59" r:id="rId24" xr:uid="{6405A60A-AF40-483F-A085-1ACE74BDD7CC}"/>
    <hyperlink ref="N58" r:id="rId25" xr:uid="{5A0DC688-08D1-47FB-9E71-1F48699DE9A3}"/>
    <hyperlink ref="N56" r:id="rId26" xr:uid="{3B55CB22-6266-44C0-A276-7AF395B75F5B}"/>
    <hyperlink ref="N54" r:id="rId27" xr:uid="{07A87368-D619-4179-B931-180BF557101A}"/>
    <hyperlink ref="N53" r:id="rId28" xr:uid="{1BF3102E-4DEB-45FD-B11D-01BF814EB430}"/>
    <hyperlink ref="N52" r:id="rId29" xr:uid="{D4FBB37B-CF0E-4C85-A0CD-24E0B709C3D0}"/>
    <hyperlink ref="N51" r:id="rId30" xr:uid="{7EE84BE8-37B4-4EB8-B870-CCE37E67FF6E}"/>
    <hyperlink ref="N49" r:id="rId31" xr:uid="{F7DC9B1D-BEC6-4EA2-8443-F71876D63678}"/>
    <hyperlink ref="N47" r:id="rId32" xr:uid="{C8F61896-66CD-435C-B8C9-043A159F48DD}"/>
    <hyperlink ref="N45" r:id="rId33" xr:uid="{BE41C50A-DFCC-4C98-A683-525F9D61607B}"/>
    <hyperlink ref="N43" r:id="rId34" xr:uid="{8FF55BFC-DE5B-4CE5-8619-A9F16B2FD8F0}"/>
    <hyperlink ref="N41" r:id="rId35" xr:uid="{9C007AA1-0C85-43DE-9430-9FA2747B0398}"/>
    <hyperlink ref="N40" r:id="rId36" xr:uid="{EF5F0F89-9B97-4E82-8845-E3C23870EADF}"/>
    <hyperlink ref="N39" r:id="rId37" xr:uid="{76982ED8-D3D3-4900-AEAB-D8FA23352836}"/>
    <hyperlink ref="N38" r:id="rId38" xr:uid="{21CB1688-1CED-4630-B931-2794CCD3AE27}"/>
    <hyperlink ref="N37" r:id="rId39" xr:uid="{C1D26DA9-3643-467A-9B73-73FA266B8A71}"/>
    <hyperlink ref="N36" r:id="rId40" xr:uid="{7B59D6A2-354B-40F4-81BD-4F3D9822BB59}"/>
    <hyperlink ref="N35" r:id="rId41" xr:uid="{1799BBDC-A5D9-4917-8CAC-599CA58BA9C4}"/>
    <hyperlink ref="N34" r:id="rId42" xr:uid="{8D5358E5-A429-4187-9787-71A44DB54532}"/>
    <hyperlink ref="N33" r:id="rId43" xr:uid="{BD2DA214-15FB-4553-BC3C-A01654B0C541}"/>
    <hyperlink ref="N31" r:id="rId44" xr:uid="{6AA1510A-3B7F-4ED5-8032-077FB362F726}"/>
    <hyperlink ref="N30" r:id="rId45" xr:uid="{F2EAE1BB-DE21-490C-BFAA-5A658B877B01}"/>
    <hyperlink ref="N28" r:id="rId46" xr:uid="{EF73B41B-0F6A-482D-A2FF-5F089E9C630C}"/>
    <hyperlink ref="N26" r:id="rId47" xr:uid="{81B897F5-5EE2-4BCE-AF31-FB71115C08E9}"/>
    <hyperlink ref="N25" r:id="rId48" xr:uid="{034DDDBA-5847-44C8-97BD-9CBE51DCC796}"/>
    <hyperlink ref="N23" r:id="rId49" xr:uid="{5421D900-02E9-4978-BF7A-28B03DB18A22}"/>
    <hyperlink ref="N21" r:id="rId50" xr:uid="{88481026-2170-4B5F-9544-16083DD31251}"/>
    <hyperlink ref="N20" r:id="rId51" xr:uid="{F4CBCE67-D0CA-4832-9647-7C0142BAC467}"/>
    <hyperlink ref="N73" r:id="rId52" xr:uid="{AAF23846-01B8-4D75-B818-F819A5A96D1B}"/>
    <hyperlink ref="N64" r:id="rId53" xr:uid="{2CF1B2B9-9CCE-4DD4-BBA4-DC1C018E531A}"/>
    <hyperlink ref="N42" r:id="rId54" xr:uid="{895CD702-258D-40DC-A638-C197F4FE5AA3}"/>
    <hyperlink ref="N27" r:id="rId55" xr:uid="{9C939637-6F19-4F15-863E-2A00F1B8751E}"/>
    <hyperlink ref="M23" r:id="rId56" tooltip="Protegido por Outlook: https://ca.wikiloc.com/rutes-senderisme/serra-de-carreu-pic-del-cap-de-carreu-font-de-la-menta-86612570. Haga clic o pulse para seguir el vínculo." display="https://emea01.safelinks.protection.outlook.com/?url=https%3A%2F%2Fca.wikiloc.com%2Frutes-senderisme%2Fserra-de-carreu-pic-del-cap-de-carreu-font-de-la-menta-86612570&amp;data=05%7C02%7C%7Cb34d54daf57c40a2c98508dcd2a567cd%7C84df9e7fe9f640afb435aaaaaaaaaaaa%7C1%7C0%7C638616855056008747%7CUnknown%7CTWFpbGZsb3d8eyJWIjoiMC4wLjAwMDAiLCJQIjoiV2luMzIiLCJBTiI6Ik1haWwiLCJXVCI6Mn0%3D%7C0%7C%7C%7C&amp;sdata=n0GvHQjKrV%2FFcb7LTqayBS1UpHto8xL5uWnKt4bNaco%3D&amp;reserved=0" xr:uid="{FAB12A79-4B59-4787-B5D9-10D8EE7B8CD7}"/>
    <hyperlink ref="M22" r:id="rId57" tooltip="Protegido por Outlook: https://es.wikiloc.com/rutas-senderismo/tossal-balinyo-tossal-del-pouet-i-tossal-doriola-84123133. Haga clic o pulse para seguir el vínculo." display="https://emea01.safelinks.protection.outlook.com/?url=https%3A%2F%2Fes.wikiloc.com%2Frutas-senderismo%2Ftossal-balinyo-tossal-del-pouet-i-tossal-doriola-84123133&amp;data=05%7C02%7C%7Cb34d54daf57c40a2c98508dcd2a567cd%7C84df9e7fe9f640afb435aaaaaaaaaaaa%7C1%7C0%7C638616855056030032%7CUnknown%7CTWFpbGZsb3d8eyJWIjoiMC4wLjAwMDAiLCJQIjoiV2luMzIiLCJBTiI6Ik1haWwiLCJXVCI6Mn0%3D%7C0%7C%7C%7C&amp;sdata=gqXesPs4S7GMGZRvI1o%2BDFMoLeS0XbMna3vmFPSitbM%3D&amp;reserved=0" xr:uid="{82D42EE7-3E0C-4E73-AF84-963D644C68F6}"/>
    <hyperlink ref="M28" r:id="rId58" tooltip="Protegido por Outlook: https://gl.wikiloc.com/rutas-sendeirismo/punta-el-cuezo-2034-m-desde-espierba-circular-por-los-llanos-de-diera-116211792. Haga clic o pulse para seguir el vínculo." display="https://emea01.safelinks.protection.outlook.com/?url=https%3A%2F%2Fgl.wikiloc.com%2Frutas-sendeirismo%2Fpunta-el-cuezo-2034-m-desde-espierba-circular-por-los-llanos-de-diera-116211792&amp;data=05%7C02%7C%7Ca303c3864ccb4f346c5908dc9489d418%7C84df9e7fe9f640afb435aaaaaaaaaaaa%7C1%7C0%7C638548566903491994%7CUnknown%7CTWFpbGZsb3d8eyJWIjoiMC4wLjAwMDAiLCJQIjoiV2luMzIiLCJBTiI6Ik1haWwiLCJXVCI6Mn0%3D%7C0%7C%7C%7C&amp;sdata=R2jFEqP9Hq%2BcAyqc4K95exGGtHPfN2fsWYh78MDNsb4%3D&amp;reserved=0" xr:uid="{52D91C03-C31F-4BC7-AE08-559D5579C0BC}"/>
    <hyperlink ref="M27" r:id="rId59" tooltip="Protegido por Outlook: https://gl.wikiloc.com/rutas-sendeirismo/faja-tormosa-desde-el-refugio-ronatiza-de-pineta-circular-cmm-7286967. Haga clic o pulse para seguir el vínculo." display="https://emea01.safelinks.protection.outlook.com/?url=https%3A%2F%2Fgl.wikiloc.com%2Frutas-sendeirismo%2Ffaja-tormosa-desde-el-refugio-ronatiza-de-pineta-circular-cmm-7286967&amp;data=05%7C02%7C%7Ca303c3864ccb4f346c5908dc9489d418%7C84df9e7fe9f640afb435aaaaaaaaaaaa%7C1%7C0%7C638548566903505633%7CUnknown%7CTWFpbGZsb3d8eyJWIjoiMC4wLjAwMDAiLCJQIjoiV2luMzIiLCJBTiI6Ik1haWwiLCJXVCI6Mn0%3D%7C0%7C%7C%7C&amp;sdata=3CCPJYzqx%2B%2BwteCviagDuKwFfNIDCt7hb2wJ%2BjaNB%2FM%3D&amp;reserved=0" xr:uid="{9E64BE27-CCBB-4B41-A326-2F280108E2D1}"/>
    <hyperlink ref="M30" r:id="rId60" tooltip="Protegido por Outlook: https://www.visugpx.com/VAhZDyRtZj?utm_source=brevo&amp;utm_campaign=2024-06%20Elaios&amp;utm_medium=email. Haga clic o pulse para seguir el vínculo." display="https://emea01.safelinks.protection.outlook.com/?url=https%3A%2F%2Fwww.visugpx.com%2FVAhZDyRtZj%3Futm_source%3Dbrevo%26utm_campaign%3D2024-06%2520Elaios%26utm_medium%3Demail&amp;data=05%7C02%7C%7C8b8ec1387e074bd3e7e308dc8bd19c02%7C84df9e7fe9f640afb435aaaaaaaaaaaa%7C1%7C0%7C638538979588051585%7CUnknown%7CTWFpbGZsb3d8eyJWIjoiMC4wLjAwMDAiLCJQIjoiV2luMzIiLCJBTiI6Ik1haWwiLCJXVCI6Mn0%3D%7C0%7C%7C%7C&amp;sdata=QCzqJwAcnm1py%2FTqTrFF6kCeuFudGgIIRvNWFfaxdOg%3D&amp;reserved=0" xr:uid="{AFB4EC1C-49ED-48BC-92CB-CC343B7F7E7F}"/>
    <hyperlink ref="M29" r:id="rId61" tooltip="Protegido por Outlook: https://www.visugpx.com/UVNZmCcpSp?utm_source=brevo&amp;utm_campaign=2024-06%20Elaios&amp;utm_medium=email. Haga clic o pulse para seguir el vínculo." display="https://emea01.safelinks.protection.outlook.com/?url=https%3A%2F%2Fwww.visugpx.com%2FUVNZmCcpSp%3Futm_source%3Dbrevo%26utm_campaign%3D2024-06%2520Elaios%26utm_medium%3Demail&amp;data=05%7C02%7C%7C8b8ec1387e074bd3e7e308dc8bd19c02%7C84df9e7fe9f640afb435aaaaaaaaaaaa%7C1%7C0%7C638538979588060402%7CUnknown%7CTWFpbGZsb3d8eyJWIjoiMC4wLjAwMDAiLCJQIjoiV2luMzIiLCJBTiI6Ik1haWwiLCJXVCI6Mn0%3D%7C0%7C%7C%7C&amp;sdata=kSW3Ref8fXVxCL20aoA63U842Zv2zlRSyCFuM1KoZI8%3D&amp;reserved=0" xr:uid="{8239CE17-7BE2-4076-B4A0-D6B011C9CB9C}"/>
    <hyperlink ref="M51" r:id="rId62" tooltip="Protegido por Outlook: https://gl.wikiloc.com/rutas-sendeirismo/antonana-soila-994-m-por-la-senda-el-agin-29126591. Haga clic o pulse para seguir el vínculo." display="https://emea01.safelinks.protection.outlook.com/?url=https%3A%2F%2Fgl.wikiloc.com%2Frutas-sendeirismo%2Fantonana-soila-994-m-por-la-senda-el-agin-29126591&amp;data=05%7C01%7C%7C5e7444d77ee6430122a808db1514a25e%7C84df9e7fe9f640afb435aaaaaaaaaaaa%7C1%7C0%7C638126950585094251%7CUnknown%7CTWFpbGZsb3d8eyJWIjoiMC4wLjAwMDAiLCJQIjoiV2luMzIiLCJBTiI6Ik1haWwiLCJXVCI6Mn0%3D%7C3000%7C%7C%7C&amp;sdata=%2BGEoumPKDmda1sSIvu4%2FRMm6PttnFPVnrY4M0Qk1lkQ%3D&amp;reserved=0" xr:uid="{A6B3C21B-0540-4D2B-BBEE-B87CF5CE8B05}"/>
    <hyperlink ref="M50" r:id="rId63" tooltip="Protegido por Outlook: https://gl.wikiloc.com/rutas-sendeirismo/agradable-mananera-por-el-parque-natural-de-izki-san-justi-san-cristobal-y-pena-del-arco-229864. Haga clic o pulse para seguir el vínculo." display="https://emea01.safelinks.protection.outlook.com/?url=https%3A%2F%2Fgl.wikiloc.com%2Frutas-sendeirismo%2Fagradable-mananera-por-el-parque-natural-de-izki-san-justi-san-cristobal-y-pena-del-arco-229864&amp;data=05%7C01%7C%7C5e7444d77ee6430122a808db1514a25e%7C84df9e7fe9f640afb435aaaaaaaaaaaa%7C1%7C0%7C638126950585250474%7CUnknown%7CTWFpbGZsb3d8eyJWIjoiMC4wLjAwMDAiLCJQIjoiV2luMzIiLCJBTiI6Ik1haWwiLCJXVCI6Mn0%3D%7C3000%7C%7C%7C&amp;sdata=heATnWcK%2BngqhcKzS18XBVFAW8%2BBmPOJcQkrpSwyRkw%3D&amp;reserved=0" xr:uid="{24B6DAAC-D1CA-4E88-8222-7AE349969466}"/>
    <hyperlink ref="M54" r:id="rId64" tooltip="Protegido por Outlook: https://es.wikiloc.com/rutas-senderismo/cresta-balcez-paniebla-tozales-de-paco-tiesto-y-as-forcas-y-pozos-hielo-de-bagueste-circular-desde-46351304. Haga clic o pulse para seguir el vínculo." display="https://emea01.safelinks.protection.outlook.com/?url=https%3A%2F%2Fes.wikiloc.com%2Frutas-senderismo%2Fcresta-balcez-paniebla-tozales-de-paco-tiesto-y-as-forcas-y-pozos-hielo-de-bagueste-circular-desde-46351304&amp;data=05%7C01%7C%7Cc05702fc548b4242a2de08dac1c25482%7C84df9e7fe9f640afb435aaaaaaaaaaaa%7C1%7C0%7C638035337626149559%7CUnknown%7CTWFpbGZsb3d8eyJWIjoiMC4wLjAwMDAiLCJQIjoiV2luMzIiLCJBTiI6Ik1haWwiLCJXVCI6Mn0%3D%7C3000%7C%7C%7C&amp;sdata=kyAOOSGlTdTSnBc0rtu%2Bi7iCvEOXn52EDBB0TjcvfoM%3D&amp;reserved=0" xr:uid="{6DF21C19-45C9-4A91-A25D-F04113B94382}"/>
    <hyperlink ref="K150" display="https://www.google.com/maps/place/Embalse+de+Vadiello/@42.2475964,-0.2821301,1683m/data=!3m2!1e3!4b1!4m6!3m5!1s0xd5815398903afe3:0x522c4726b1711b0a!8m2!3d42.2423876!4d-0.2752098!16s%2Fg%2F1yfp3m4nn!5m1!1e4?authuser=0&amp;entry=ttu&amp;g_ep=EgoyMDI2MDgxOS4wIKXMDSo" xr:uid="{4D27B742-EBDB-4234-BCB1-7BB488989C50}"/>
    <hyperlink ref="K215" display="https://www.google.com/maps/place/Embalse+de+Vadiello/@42.2475964,-0.2821301,1683m/data=!3m2!1e3!4b1!4m6!3m5!1s0xd5815398903afe3:0x522c4726b1711b0a!8m2!3d42.2423876!4d-0.2752098!16s%2Fg%2F1yfp3m4nn!5m1!1e4?authuser=0&amp;entry=ttu&amp;g_ep=EgoyMDI2MDgxOS4wIKXMDSo" xr:uid="{E716AE84-CAAB-43CC-AAF8-1EB5E88D3142}"/>
    <hyperlink ref="K218" display="https://www.google.com/maps/place/50480+Paniza,+Zaragoza/@41.2840834,-1.216028,16z/data=!3m1!4b1!4m6!3m5!1s0xd5955578d273f23:0xb7f3e46d767b8137!8m2!3d41.2832962!4d-1.2109306!16s%2Fm%2F02z9v3v!5m1!1e4?authuser=0&amp;entry=ttu&amp;g_ep=EgoyMDI2MDgxOS4wIKXMDSoASAFQA" xr:uid="{F0FFB2B8-1152-4BD4-9694-6268960CE976}"/>
    <hyperlink ref="M166" r:id="rId65" xr:uid="{BAEA542E-92AE-4FD5-83D7-DA4F8C536903}"/>
    <hyperlink ref="M118" r:id="rId66" xr:uid="{B5F16D1F-9571-47C9-953E-08163F751D90}"/>
    <hyperlink ref="M187" r:id="rId67" xr:uid="{1C4661AA-1190-4B76-8EB3-AD4B3ABCFAA5}"/>
  </hyperlinks>
  <pageMargins left="0.7" right="0.7" top="0.75" bottom="0.75" header="0.3" footer="0.3"/>
  <pageSetup paperSize="9" orientation="portrait" horizontalDpi="0" verticalDpi="0" r:id="rId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 padilla</dc:creator>
  <cp:lastModifiedBy>joseluis padilla</cp:lastModifiedBy>
  <dcterms:created xsi:type="dcterms:W3CDTF">2026-07-05T15:49:43Z</dcterms:created>
  <dcterms:modified xsi:type="dcterms:W3CDTF">2026-09-20T19:00:24Z</dcterms:modified>
</cp:coreProperties>
</file>