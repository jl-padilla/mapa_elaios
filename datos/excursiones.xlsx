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B14BCE20-1238-4D9A-96CE-C20F45AC8DB4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69" i="1" l="1"/>
  <c r="H67" i="1"/>
  <c r="I67" i="1"/>
  <c r="A67" i="1"/>
  <c r="H65" i="1"/>
  <c r="I65" i="1"/>
  <c r="A65" i="1"/>
  <c r="H63" i="1"/>
  <c r="I63" i="1"/>
  <c r="A63" i="1"/>
  <c r="H61" i="1"/>
  <c r="I61" i="1"/>
  <c r="A61" i="1"/>
  <c r="H58" i="1"/>
  <c r="I58" i="1"/>
  <c r="A58" i="1"/>
  <c r="A56" i="1"/>
  <c r="H56" i="1"/>
  <c r="I56" i="1"/>
  <c r="H53" i="1"/>
  <c r="I53" i="1"/>
  <c r="A217" i="1"/>
  <c r="A216" i="1"/>
  <c r="H51" i="1"/>
  <c r="I51" i="1"/>
  <c r="A51" i="1"/>
  <c r="H49" i="1"/>
  <c r="I49" i="1"/>
  <c r="A49" i="1"/>
  <c r="H47" i="1"/>
  <c r="I47" i="1"/>
  <c r="A47" i="1"/>
  <c r="H45" i="1"/>
  <c r="I45" i="1"/>
  <c r="A45" i="1"/>
  <c r="H33" i="1"/>
  <c r="I33" i="1"/>
  <c r="A33" i="1"/>
  <c r="H30" i="1"/>
  <c r="I30" i="1"/>
  <c r="A30" i="1"/>
  <c r="A26" i="1"/>
  <c r="H25" i="1"/>
  <c r="I25" i="1"/>
  <c r="A25" i="1"/>
  <c r="H23" i="1"/>
  <c r="I23" i="1"/>
  <c r="A23" i="1"/>
  <c r="H215" i="1"/>
  <c r="I215" i="1"/>
  <c r="H214" i="1"/>
  <c r="I214" i="1"/>
  <c r="H213" i="1"/>
  <c r="I213" i="1"/>
  <c r="H212" i="1"/>
  <c r="I212" i="1"/>
  <c r="H211" i="1"/>
  <c r="I211" i="1"/>
  <c r="H210" i="1"/>
  <c r="I210" i="1"/>
  <c r="H209" i="1"/>
  <c r="I209" i="1"/>
  <c r="H208" i="1"/>
  <c r="I208" i="1"/>
  <c r="H207" i="1"/>
  <c r="I207" i="1"/>
  <c r="H206" i="1"/>
  <c r="I206" i="1"/>
  <c r="H205" i="1"/>
  <c r="I205" i="1"/>
  <c r="H204" i="1"/>
  <c r="I204" i="1"/>
  <c r="H203" i="1"/>
  <c r="I203" i="1"/>
  <c r="H202" i="1"/>
  <c r="I202" i="1"/>
  <c r="H201" i="1"/>
  <c r="I201" i="1"/>
  <c r="H200" i="1"/>
  <c r="I200" i="1"/>
  <c r="H199" i="1"/>
  <c r="I199" i="1"/>
  <c r="H198" i="1"/>
  <c r="I198" i="1"/>
  <c r="H197" i="1"/>
  <c r="I197" i="1"/>
  <c r="H196" i="1"/>
  <c r="I196" i="1"/>
  <c r="H195" i="1"/>
  <c r="I195" i="1"/>
  <c r="H194" i="1"/>
  <c r="I194" i="1"/>
  <c r="H193" i="1"/>
  <c r="I193" i="1"/>
  <c r="H192" i="1"/>
  <c r="I192" i="1"/>
  <c r="H191" i="1"/>
  <c r="I191" i="1"/>
  <c r="H190" i="1"/>
  <c r="I190" i="1"/>
  <c r="H189" i="1"/>
  <c r="I189" i="1"/>
  <c r="H188" i="1"/>
  <c r="I188" i="1"/>
  <c r="H187" i="1"/>
  <c r="I187" i="1"/>
  <c r="H186" i="1"/>
  <c r="I186" i="1"/>
  <c r="H185" i="1"/>
  <c r="I185" i="1"/>
  <c r="H184" i="1"/>
  <c r="I184" i="1"/>
  <c r="H183" i="1"/>
  <c r="I183" i="1"/>
  <c r="H182" i="1"/>
  <c r="I182" i="1"/>
  <c r="H180" i="1"/>
  <c r="I180" i="1"/>
  <c r="H181" i="1"/>
  <c r="I181" i="1"/>
  <c r="H179" i="1"/>
  <c r="I179" i="1"/>
  <c r="H178" i="1"/>
  <c r="I178" i="1"/>
  <c r="H177" i="1"/>
  <c r="I177" i="1"/>
  <c r="H176" i="1"/>
  <c r="I176" i="1"/>
  <c r="H175" i="1"/>
  <c r="I175" i="1"/>
  <c r="H174" i="1"/>
  <c r="I174" i="1"/>
  <c r="H173" i="1"/>
  <c r="I173" i="1"/>
  <c r="H172" i="1"/>
  <c r="I172" i="1"/>
  <c r="H171" i="1"/>
  <c r="I171" i="1"/>
  <c r="H170" i="1"/>
  <c r="I170" i="1"/>
  <c r="H169" i="1"/>
  <c r="I169" i="1"/>
  <c r="H168" i="1"/>
  <c r="I168" i="1"/>
  <c r="H167" i="1"/>
  <c r="I167" i="1"/>
  <c r="H166" i="1"/>
  <c r="I166" i="1"/>
  <c r="H165" i="1"/>
  <c r="I165" i="1"/>
  <c r="H164" i="1"/>
  <c r="I164" i="1"/>
  <c r="H163" i="1"/>
  <c r="I163" i="1"/>
  <c r="H162" i="1"/>
  <c r="I162" i="1"/>
  <c r="H161" i="1"/>
  <c r="I161" i="1"/>
  <c r="H160" i="1"/>
  <c r="I160" i="1"/>
  <c r="H159" i="1"/>
  <c r="I159" i="1"/>
  <c r="H158" i="1"/>
  <c r="I158" i="1"/>
  <c r="H157" i="1"/>
  <c r="I157" i="1"/>
  <c r="H156" i="1"/>
  <c r="I156" i="1"/>
  <c r="H155" i="1"/>
  <c r="I155" i="1"/>
  <c r="H154" i="1"/>
  <c r="I154" i="1"/>
  <c r="H153" i="1"/>
  <c r="I153" i="1"/>
  <c r="H152" i="1"/>
  <c r="I152" i="1"/>
  <c r="H151" i="1"/>
  <c r="I151" i="1"/>
  <c r="H150" i="1"/>
  <c r="I150" i="1"/>
  <c r="H148" i="1"/>
  <c r="I148" i="1"/>
  <c r="H149" i="1"/>
  <c r="I149" i="1"/>
  <c r="H147" i="1"/>
  <c r="I147" i="1"/>
  <c r="H146" i="1"/>
  <c r="I146" i="1"/>
  <c r="H145" i="1"/>
  <c r="I145" i="1"/>
  <c r="H144" i="1"/>
  <c r="I144" i="1"/>
  <c r="H143" i="1"/>
  <c r="I143" i="1"/>
  <c r="H142" i="1"/>
  <c r="I142" i="1"/>
  <c r="H141" i="1"/>
  <c r="I141" i="1"/>
  <c r="H139" i="1"/>
  <c r="I139" i="1"/>
  <c r="H140" i="1"/>
  <c r="I140" i="1"/>
  <c r="H138" i="1"/>
  <c r="I138" i="1"/>
  <c r="H137" i="1"/>
  <c r="I137" i="1"/>
  <c r="H136" i="1"/>
  <c r="I136" i="1"/>
  <c r="H135" i="1"/>
  <c r="I135" i="1"/>
  <c r="H134" i="1"/>
  <c r="I134" i="1"/>
  <c r="H133" i="1"/>
  <c r="I133" i="1"/>
  <c r="H132" i="1"/>
  <c r="I132" i="1"/>
  <c r="H131" i="1"/>
  <c r="I131" i="1"/>
  <c r="H130" i="1"/>
  <c r="I130" i="1"/>
  <c r="H129" i="1"/>
  <c r="I129" i="1"/>
  <c r="H128" i="1"/>
  <c r="I128" i="1"/>
  <c r="H127" i="1"/>
  <c r="I127" i="1"/>
  <c r="H126" i="1"/>
  <c r="I126" i="1"/>
  <c r="H125" i="1"/>
  <c r="I125" i="1"/>
  <c r="H124" i="1"/>
  <c r="I124" i="1"/>
  <c r="H123" i="1"/>
  <c r="I123" i="1"/>
  <c r="H122" i="1"/>
  <c r="I122" i="1"/>
  <c r="H121" i="1"/>
  <c r="I121" i="1"/>
  <c r="H120" i="1"/>
  <c r="I120" i="1"/>
  <c r="H119" i="1"/>
  <c r="I119" i="1"/>
  <c r="H118" i="1"/>
  <c r="I118" i="1"/>
  <c r="H117" i="1"/>
  <c r="I117" i="1"/>
  <c r="H115" i="1"/>
  <c r="I115" i="1"/>
  <c r="H116" i="1"/>
  <c r="I116" i="1"/>
  <c r="H114" i="1"/>
  <c r="I114" i="1"/>
  <c r="H113" i="1"/>
  <c r="I113" i="1"/>
  <c r="H112" i="1"/>
  <c r="I112" i="1"/>
  <c r="H111" i="1"/>
  <c r="I111" i="1"/>
  <c r="H110" i="1"/>
  <c r="I110" i="1"/>
  <c r="H109" i="1"/>
  <c r="I109" i="1"/>
  <c r="H108" i="1"/>
  <c r="I108" i="1"/>
  <c r="H107" i="1"/>
  <c r="I107" i="1"/>
  <c r="H106" i="1"/>
  <c r="I106" i="1"/>
  <c r="H105" i="1"/>
  <c r="I105" i="1"/>
  <c r="H103" i="1"/>
  <c r="I103" i="1"/>
  <c r="H104" i="1"/>
  <c r="I104" i="1"/>
  <c r="H102" i="1"/>
  <c r="I102" i="1"/>
  <c r="H101" i="1"/>
  <c r="I101" i="1"/>
  <c r="H100" i="1"/>
  <c r="I100" i="1"/>
  <c r="H99" i="1"/>
  <c r="I99" i="1"/>
  <c r="H98" i="1"/>
  <c r="I98" i="1"/>
  <c r="H97" i="1"/>
  <c r="I97" i="1"/>
  <c r="H96" i="1"/>
  <c r="I96" i="1"/>
  <c r="H95" i="1"/>
  <c r="I95" i="1"/>
  <c r="H93" i="1"/>
  <c r="I93" i="1"/>
  <c r="H94" i="1"/>
  <c r="I94" i="1"/>
  <c r="H92" i="1"/>
  <c r="I92" i="1"/>
  <c r="H91" i="1"/>
  <c r="I91" i="1"/>
  <c r="H90" i="1"/>
  <c r="I90" i="1"/>
  <c r="H89" i="1"/>
  <c r="I89" i="1"/>
  <c r="H88" i="1"/>
  <c r="I88" i="1"/>
  <c r="H87" i="1"/>
  <c r="I87" i="1"/>
  <c r="H86" i="1"/>
  <c r="I86" i="1"/>
  <c r="H85" i="1"/>
  <c r="I85" i="1"/>
  <c r="H84" i="1"/>
  <c r="I84" i="1"/>
  <c r="H83" i="1"/>
  <c r="I83" i="1"/>
  <c r="H82" i="1"/>
  <c r="I82" i="1"/>
  <c r="H81" i="1"/>
  <c r="I81" i="1"/>
  <c r="H80" i="1"/>
  <c r="I80" i="1"/>
  <c r="H79" i="1"/>
  <c r="I79" i="1"/>
  <c r="H78" i="1"/>
  <c r="I78" i="1"/>
  <c r="H77" i="1"/>
  <c r="I77" i="1"/>
  <c r="H76" i="1"/>
  <c r="I76" i="1"/>
  <c r="H75" i="1"/>
  <c r="I75" i="1"/>
  <c r="H73" i="1"/>
  <c r="I73" i="1"/>
  <c r="H74" i="1"/>
  <c r="I74" i="1"/>
  <c r="H72" i="1"/>
  <c r="I72" i="1"/>
  <c r="H71" i="1"/>
  <c r="I71" i="1"/>
  <c r="H70" i="1"/>
  <c r="I70" i="1"/>
  <c r="H69" i="1"/>
  <c r="I69" i="1"/>
  <c r="H68" i="1"/>
  <c r="I68" i="1"/>
  <c r="H66" i="1"/>
  <c r="I66" i="1"/>
  <c r="H64" i="1"/>
  <c r="I64" i="1"/>
  <c r="H62" i="1"/>
  <c r="I62" i="1"/>
  <c r="H60" i="1"/>
  <c r="I60" i="1"/>
  <c r="H59" i="1"/>
  <c r="I59" i="1"/>
  <c r="H57" i="1"/>
  <c r="I57" i="1"/>
  <c r="H55" i="1"/>
  <c r="I55" i="1"/>
  <c r="H54" i="1"/>
  <c r="I54" i="1"/>
  <c r="H52" i="1"/>
  <c r="I52" i="1"/>
  <c r="H50" i="1"/>
  <c r="I50" i="1"/>
  <c r="H48" i="1"/>
  <c r="I48" i="1"/>
  <c r="H46" i="1"/>
  <c r="I46" i="1"/>
  <c r="H44" i="1"/>
  <c r="I44" i="1"/>
  <c r="H42" i="1"/>
  <c r="I42" i="1"/>
  <c r="H43" i="1"/>
  <c r="I43" i="1"/>
  <c r="H41" i="1"/>
  <c r="I41" i="1"/>
  <c r="H40" i="1"/>
  <c r="I40" i="1"/>
  <c r="H39" i="1"/>
  <c r="I39" i="1"/>
  <c r="H38" i="1"/>
  <c r="I38" i="1"/>
  <c r="H37" i="1"/>
  <c r="I37" i="1"/>
  <c r="H36" i="1"/>
  <c r="I36" i="1"/>
  <c r="H35" i="1"/>
  <c r="I35" i="1"/>
  <c r="H34" i="1"/>
  <c r="I34" i="1"/>
  <c r="H32" i="1"/>
  <c r="I32" i="1"/>
  <c r="H31" i="1"/>
  <c r="I31" i="1"/>
  <c r="H29" i="1"/>
  <c r="I29" i="1"/>
  <c r="H27" i="1"/>
  <c r="I27" i="1"/>
  <c r="H28" i="1"/>
  <c r="I28" i="1"/>
  <c r="H26" i="1"/>
  <c r="I26" i="1"/>
  <c r="H24" i="1"/>
  <c r="I24" i="1"/>
  <c r="H22" i="1"/>
  <c r="I22" i="1"/>
  <c r="H21" i="1"/>
  <c r="I21" i="1"/>
  <c r="H20" i="1"/>
  <c r="I20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0" i="1"/>
  <c r="A181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8" i="1"/>
  <c r="A149" i="1"/>
  <c r="A147" i="1"/>
  <c r="A146" i="1"/>
  <c r="A145" i="1"/>
  <c r="A144" i="1"/>
  <c r="A143" i="1"/>
  <c r="A142" i="1"/>
  <c r="A141" i="1"/>
  <c r="A139" i="1"/>
  <c r="A140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5" i="1"/>
  <c r="A116" i="1"/>
  <c r="A114" i="1"/>
  <c r="A113" i="1"/>
  <c r="A112" i="1"/>
  <c r="A111" i="1"/>
  <c r="A110" i="1"/>
  <c r="A109" i="1"/>
  <c r="A108" i="1"/>
  <c r="A107" i="1"/>
  <c r="A106" i="1"/>
  <c r="A105" i="1"/>
  <c r="A103" i="1"/>
  <c r="A104" i="1"/>
  <c r="A102" i="1"/>
  <c r="A101" i="1"/>
  <c r="A100" i="1"/>
  <c r="A99" i="1"/>
  <c r="A98" i="1"/>
  <c r="A97" i="1"/>
  <c r="A96" i="1"/>
  <c r="A95" i="1"/>
  <c r="A93" i="1"/>
  <c r="A94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3" i="1"/>
  <c r="A74" i="1"/>
  <c r="A72" i="1"/>
  <c r="A71" i="1"/>
  <c r="A70" i="1"/>
  <c r="A68" i="1"/>
  <c r="A66" i="1"/>
  <c r="A64" i="1"/>
  <c r="A62" i="1"/>
  <c r="A60" i="1"/>
  <c r="A59" i="1"/>
  <c r="A57" i="1"/>
  <c r="A55" i="1"/>
  <c r="A54" i="1"/>
  <c r="A53" i="1"/>
  <c r="A52" i="1"/>
  <c r="A50" i="1"/>
  <c r="A48" i="1"/>
  <c r="A46" i="1"/>
  <c r="A44" i="1"/>
  <c r="A42" i="1"/>
  <c r="A43" i="1"/>
  <c r="A41" i="1"/>
  <c r="A40" i="1"/>
  <c r="A39" i="1"/>
  <c r="A38" i="1"/>
  <c r="A37" i="1"/>
  <c r="A36" i="1"/>
  <c r="A35" i="1"/>
  <c r="A34" i="1"/>
  <c r="A32" i="1"/>
  <c r="A31" i="1"/>
  <c r="A29" i="1"/>
  <c r="A27" i="1"/>
  <c r="A28" i="1"/>
  <c r="A24" i="1"/>
  <c r="A22" i="1"/>
  <c r="A21" i="1"/>
  <c r="A20" i="1"/>
  <c r="A215" i="1"/>
  <c r="H2" i="1"/>
  <c r="I2" i="1"/>
  <c r="A2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<sst xmlns="http://schemas.openxmlformats.org/spreadsheetml/2006/main" count="1581" uniqueCount="577">
  <si>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</si>
  <si>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</si>
  <si>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</si>
  <si>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</si>
  <si>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</si>
  <si>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</si>
  <si>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</si>
  <si>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</si>
  <si>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</si>
  <si>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</si>
  <si>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</si>
  <si>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</si>
  <si>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</si>
  <si>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</si>
  <si>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</si>
  <si>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</si>
  <si>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</si>
  <si>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</si>
  <si>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</si>
  <si>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</si>
  <si>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</si>
  <si>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</si>
  <si>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</si>
  <si>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</si>
  <si>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</si>
  <si>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</si>
  <si>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</si>
  <si>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</si>
  <si>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</si>
  <si>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</si>
  <si>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</si>
  <si>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</si>
  <si>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</si>
  <si>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</si>
  <si>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</si>
  <si>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</si>
  <si>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https://es.wikiloc.com/wikiloc/map.do?q=Moncayo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</si>
  <si>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</si>
  <si>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</si>
  <si>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</si>
  <si>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</si>
  <si>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</si>
  <si>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</si>
  <si>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</si>
  <si>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</si>
  <si>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</si>
  <si>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</si>
  <si>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</si>
  <si>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</si>
  <si>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</si>
  <si>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</si>
  <si>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</si>
  <si>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</si>
  <si>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</si>
  <si>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</si>
  <si>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</si>
  <si>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</si>
  <si>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</si>
  <si>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</si>
  <si>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</si>
  <si>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</si>
  <si>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</si>
  <si>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</si>
  <si>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</si>
  <si>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</si>
  <si>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</si>
  <si>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</si>
  <si>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</si>
  <si>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</si>
  <si>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</si>
  <si>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</si>
  <si>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</si>
  <si>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</si>
  <si>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</si>
  <si>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</si>
  <si>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</si>
  <si>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</si>
  <si>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</si>
  <si>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</si>
  <si>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</si>
  <si>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</si>
  <si>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</si>
  <si>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</si>
  <si>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</si>
  <si>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</si>
  <si>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</si>
  <si>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</si>
  <si>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</si>
  <si>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</si>
  <si>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</si>
  <si>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</si>
  <si>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</si>
  <si>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</si>
  <si>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</si>
  <si>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</si>
  <si>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</si>
  <si>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</si>
  <si>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</si>
  <si>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</si>
  <si>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</si>
  <si>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</si>
  <si>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</si>
  <si>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</si>
  <si>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</si>
  <si>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</si>
  <si>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</si>
  <si>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</si>
  <si>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https://es.wikiloc.com/wikiloc/map.do?q=Pe%C3%B1a%20Oroel</t>
  </si>
  <si>
    <t>Aniés</t>
  </si>
  <si>
    <t>https://es.wikiloc.com/wikiloc/map.do?q=Ani%C3%A9s</t>
  </si>
  <si>
    <t>Santa Orosia</t>
  </si>
  <si>
    <t>https://es.wikiloc.com/wikiloc/map.do?q=Santa%20Orosia</t>
  </si>
  <si>
    <t>Pico del Águila</t>
  </si>
  <si>
    <t>https://es.wikiloc.com/wikiloc/map.do?q=Pico%20del%20%C3%81guila</t>
  </si>
  <si>
    <t>Ordesa</t>
  </si>
  <si>
    <t>https://es.wikiloc.com/wikiloc/map.do?q=Ordesa</t>
  </si>
  <si>
    <t>Villanua dolmen</t>
  </si>
  <si>
    <t>https://es.wikiloc.com/wikiloc/map.do?q=Villanua%20dolmen</t>
  </si>
  <si>
    <t>Tuca Mulleres</t>
  </si>
  <si>
    <t>https://es.wikiloc.com/wikiloc/map.do?q=Tuca%20Mulleres</t>
  </si>
  <si>
    <t>Respomuso</t>
  </si>
  <si>
    <t>https://es.wikiloc.com/wikiloc/map.do?q=Respomuso</t>
  </si>
  <si>
    <t>Valle de Tiermas</t>
  </si>
  <si>
    <t>https://es.wikiloc.com/wikiloc/map.do?q=Valle%20de%20Tiermas</t>
  </si>
  <si>
    <t>La Alfranca</t>
  </si>
  <si>
    <t>https://es.wikiloc.com/wikiloc/map.do?q=La%20Alfranca</t>
  </si>
  <si>
    <t>Raquetas Piedrafita</t>
  </si>
  <si>
    <t>https://es.wikiloc.com/wikiloc/map.do?q=Raquetas%20Piedrafita</t>
  </si>
  <si>
    <t>Puchilibro</t>
  </si>
  <si>
    <t>https://es.wikiloc.com/wikiloc/map.do?q=Puchilibro</t>
  </si>
  <si>
    <t>Nacimiento del Pitarque</t>
  </si>
  <si>
    <t>https://es.wikiloc.com/wikiloc/map.do?q=Nacimiento%20del%20Pitarque</t>
  </si>
  <si>
    <t>Valle de Ordiso / Valle de Otal</t>
  </si>
  <si>
    <t>https://es.wikiloc.com/wikiloc/map.do?q=Valle%20de%20Ordiso%20/%20Valle%20de%20Otal</t>
  </si>
  <si>
    <t>Moncayo</t>
  </si>
  <si>
    <t>Collado del Bozo 
Valle de los Sarrios-Estanés</t>
  </si>
  <si>
    <t>https://es.wikiloc.com/wikiloc/map.do?q=Collado%20del%20Bozo%20%0AValle%20de%20los%20Sarrios-Estan%C3%A9s</t>
  </si>
  <si>
    <t>Canal de Izás</t>
  </si>
  <si>
    <t>https://es.wikiloc.com/wikiloc/map.do?q=Canal%20de%20Iz%C3%A1s</t>
  </si>
  <si>
    <t>Diciembre</t>
  </si>
  <si>
    <t>San Juan de la Peña</t>
  </si>
  <si>
    <t>https://es.wikiloc.com/wikiloc/map.do?q=San%20Juan%20de%20la%20Pe%C3%B1a</t>
  </si>
  <si>
    <t>Arguis, nacimiento Flumen</t>
  </si>
  <si>
    <t>https://es.wikiloc.com/wikiloc/map.do?q=Arguis%2C%20nacimiento%20Flumen</t>
  </si>
  <si>
    <t>Peñas de Herrera (intento)</t>
  </si>
  <si>
    <t>https://es.wikiloc.com/wikiloc/map.do?q=Pe%C3%B1as%20de%20Herrera%20%28intento%29</t>
  </si>
  <si>
    <t>Raquetas Tramacastilla</t>
  </si>
  <si>
    <t>https://es.wikiloc.com/wikiloc/map.do?q=Raquetas%20Tramacastilla</t>
  </si>
  <si>
    <t>Riglos y Foz de Escalete</t>
  </si>
  <si>
    <t>https://es.wikiloc.com/wikiloc/map.do?q=Riglos%20y%20Foz%20de%20Escalete</t>
  </si>
  <si>
    <t>Calomarde - Frías de Albarracín</t>
  </si>
  <si>
    <t>https://es.wikiloc.com/wikiloc/map.do?q=Calomarde%20-%20Fr%C3%ADas%20de%20Albarrac%C3%ADn</t>
  </si>
  <si>
    <t>Canal Roya</t>
  </si>
  <si>
    <t>https://es.wikiloc.com/wikiloc/map.do?q=Canal%20Roya</t>
  </si>
  <si>
    <t>Septiembre</t>
  </si>
  <si>
    <t>Senda Cazadores</t>
  </si>
  <si>
    <t>https://es.wikiloc.com/wikiloc/map.do?q=Senda%20Cazadores</t>
  </si>
  <si>
    <t>Petrechema
Calzada romana</t>
  </si>
  <si>
    <t>https://es.wikiloc.com/wikiloc/map.do?q=Petrechema%0ACalzada%20romana</t>
  </si>
  <si>
    <t>Peñas de Herrera</t>
  </si>
  <si>
    <t>https://es.wikiloc.com/wikiloc/map.do?q=Pe%C3%B1as%20de%20Herrera</t>
  </si>
  <si>
    <t>Hoces del río Mesa</t>
  </si>
  <si>
    <t>https://es.wikiloc.com/wikiloc/map.do?q=Hoces%20del%20r%C3%ADo%20Mesa</t>
  </si>
  <si>
    <t>Paniza</t>
  </si>
  <si>
    <t>https://es.wikiloc.com/wikiloc/map.do?q=Paniza</t>
  </si>
  <si>
    <t>Raquetas Estanés</t>
  </si>
  <si>
    <t>https://es.wikiloc.com/wikiloc/map.do?q=Raquetas%20Estan%C3%A9s</t>
  </si>
  <si>
    <t>San Chinés en Vadiello</t>
  </si>
  <si>
    <t>https://es.wikiloc.com/wikiloc/map.do?q=San%20Chin%C3%A9s%20en%20Vadiello</t>
  </si>
  <si>
    <t>GR92 (Panteres Grogues)</t>
  </si>
  <si>
    <t>https://es.wikiloc.com/wikiloc/map.do?q=GR92%20%28Panteres%20Grogues%29</t>
  </si>
  <si>
    <t>Bco Mascún</t>
  </si>
  <si>
    <t>https://es.wikiloc.com/wikiloc/map.do?q=Bco%20Masc%C3%BAn</t>
  </si>
  <si>
    <t>Pazino</t>
  </si>
  <si>
    <t>https://es.wikiloc.com/wikiloc/map.do?q=Pazino</t>
  </si>
  <si>
    <t>Travesía Candanchú
Lizara Canfranc (Panteres Grogues)</t>
  </si>
  <si>
    <t>https://es.wikiloc.com/wikiloc/map.do?q=Traves%C3%ADa%20Candanch%C3%BA%0ALizara%20Canfranc%20%28Panteres%20Grogues%29</t>
  </si>
  <si>
    <t>Lagos de Ayous  (RGP)</t>
  </si>
  <si>
    <t>https://es.wikiloc.com/wikiloc/map.do?q=Lagos%20de%20Ayous%20%20%28RGP%29</t>
  </si>
  <si>
    <t>Canal de Bielsa</t>
  </si>
  <si>
    <t>https://es.wikiloc.com/wikiloc/map.do?q=Canal%20de%20Bielsa</t>
  </si>
  <si>
    <t>Sobrepuerto - Ainielle</t>
  </si>
  <si>
    <t>https://es.wikiloc.com/wikiloc/map.do?q=Sobrepuerto%20-%20Ainielle</t>
  </si>
  <si>
    <t>San Caprasio</t>
  </si>
  <si>
    <t>https://es.wikiloc.com/wikiloc/map.do?q=San%20Caprasio</t>
  </si>
  <si>
    <t>Anento</t>
  </si>
  <si>
    <t>https://es.wikiloc.com/wikiloc/map.do?q=Anento</t>
  </si>
  <si>
    <t>Obón - Alcaine</t>
  </si>
  <si>
    <t>https://es.wikiloc.com/wikiloc/map.do?q=Ob%C3%B3n%20-%20Alcaine</t>
  </si>
  <si>
    <t>Revilla, Mondoto (RGP)</t>
  </si>
  <si>
    <t>https://es.wikiloc.com/wikiloc/map.do?q=Revilla%2C%20Mondoto%20%28RGP%29</t>
  </si>
  <si>
    <t>Peña Montañesa (intento)</t>
  </si>
  <si>
    <t>https://es.wikiloc.com/wikiloc/map.do?q=Pe%C3%B1a%20Monta%C3%B1esa%20%28intento%29</t>
  </si>
  <si>
    <t>Beceite, Parrisal</t>
  </si>
  <si>
    <t>https://es.wikiloc.com/wikiloc/map.do?q=Beceite%2C%20Parrisal</t>
  </si>
  <si>
    <t>Aguastuertas
Castillo de Acher</t>
  </si>
  <si>
    <t>https://es.wikiloc.com/wikiloc/map.do?q=Aguastuertas%0ACastillo%20de%20Acher</t>
  </si>
  <si>
    <t>Garmo Negro</t>
  </si>
  <si>
    <t>https://es.wikiloc.com/wikiloc/map.do?q=Garmo%20Negro</t>
  </si>
  <si>
    <t>Ibón de Piedrafita y Arco</t>
  </si>
  <si>
    <t>https://es.wikiloc.com/wikiloc/map.do?q=Ib%C3%B3n%20de%20Piedrafita%20y%20Arco</t>
  </si>
  <si>
    <t>Circular Fanlo - Comiello</t>
  </si>
  <si>
    <t>https://es.wikiloc.com/wikiloc/map.do?q=Circular%20Fanlo%20-%20Comiello</t>
  </si>
  <si>
    <t>Purujosa - El Morrón</t>
  </si>
  <si>
    <t>https://es.wikiloc.com/wikiloc/map.do?q=Purujosa%20-%20El%20Morr%C3%B3n</t>
  </si>
  <si>
    <t>Sierra d'Espadá, Onda, Castellón  (Panteres Grogues)</t>
  </si>
  <si>
    <t>https://es.wikiloc.com/wikiloc/map.do?q=Sierra%20d%27Espad%C3%A1%2C%20Onda%2C%20Castell%C3%B3n%20%20%28Panteres%20Grogues%29</t>
  </si>
  <si>
    <t>Bierge</t>
  </si>
  <si>
    <t>https://es.wikiloc.com/wikiloc/map.do?q=Bierge</t>
  </si>
  <si>
    <t>Foz de Salinas y la Osqueta</t>
  </si>
  <si>
    <t>https://es.wikiloc.com/wikiloc/map.do?q=Foz%20de%20Salinas%20y%20la%20Osqueta</t>
  </si>
  <si>
    <t>Valle d’Ossau (RGP)</t>
  </si>
  <si>
    <t>https://es.wikiloc.com/wikiloc/map.do?q=Valle%20d%E2%80%99Ossau%20%28RGP%29</t>
  </si>
  <si>
    <t>Sierra de Cantabria 
Peñas Islallana</t>
  </si>
  <si>
    <t>https://es.wikiloc.com/wikiloc/map.do?q=Sierra%20de%20Cantabria%20%0APe%C3%B1as%20Islallana</t>
  </si>
  <si>
    <t>Vuelta al Masmut  (Panteres Grogues)
Peñagalera</t>
  </si>
  <si>
    <t>https://es.wikiloc.com/wikiloc/map.do?q=Vuelta%20al%20Masmut%20%20%28Panteres%20Grogues%29%0APe%C3%B1agalera</t>
  </si>
  <si>
    <t>Peña Montañesa</t>
  </si>
  <si>
    <t>https://es.wikiloc.com/wikiloc/map.do?q=Pe%C3%B1a%20Monta%C3%B1esa</t>
  </si>
  <si>
    <t>Redolada Gran Facha</t>
  </si>
  <si>
    <t>https://es.wikiloc.com/wikiloc/map.do?q=Redolada%20Gran%20Facha</t>
  </si>
  <si>
    <t>Travesía Benasque- la Glera</t>
  </si>
  <si>
    <t>https://es.wikiloc.com/wikiloc/map.do?q=Traves%C3%ADa%20Benasque-%20la%20Glera</t>
  </si>
  <si>
    <t>Lecina - Betorz</t>
  </si>
  <si>
    <t>https://es.wikiloc.com/wikiloc/map.do?q=Lecina%20-%20Betorz</t>
  </si>
  <si>
    <t>Ansó, bosque de Gamueta</t>
  </si>
  <si>
    <t>https://es.wikiloc.com/wikiloc/map.do?q=Ans%C3%B3%2C%20bosque%20de%20Gamueta</t>
  </si>
  <si>
    <t>Modorra de Cucalón</t>
  </si>
  <si>
    <t>https://es.wikiloc.com/wikiloc/map.do?q=Modorra%20de%20Cucal%C3%B3n</t>
  </si>
  <si>
    <t>Sierra de Santo Domingo - Biel</t>
  </si>
  <si>
    <t>https://es.wikiloc.com/wikiloc/map.do?q=Sierra%20de%20Santo%20Domingo%20-%20Biel</t>
  </si>
  <si>
    <t>Ordesa, Raquetas</t>
  </si>
  <si>
    <t>https://es.wikiloc.com/wikiloc/map.do?q=Ordesa%2C%20Raquetas</t>
  </si>
  <si>
    <t>Moncayo raquetas</t>
  </si>
  <si>
    <t>https://es.wikiloc.com/wikiloc/map.do?q=Moncayo%20raquetas</t>
  </si>
  <si>
    <t>Montsec, Mont-Rebei</t>
  </si>
  <si>
    <t>https://es.wikiloc.com/wikiloc/map.do?q=Montsec%2C%20Mont-Rebei</t>
  </si>
  <si>
    <t>Tozal de Guara</t>
  </si>
  <si>
    <t>https://es.wikiloc.com/wikiloc/map.do?q=Tozal%20de%20Guara</t>
  </si>
  <si>
    <t>Leciñena y Salto del Roldán (RGP)</t>
  </si>
  <si>
    <t>https://es.wikiloc.com/wikiloc/map.do?q=Leci%C3%B1ena%20y%20Salto%20del%20Rold%C3%A1n%20%28RGP%29</t>
  </si>
  <si>
    <t>Basa de la Mora, Cotiella</t>
  </si>
  <si>
    <t>https://es.wikiloc.com/wikiloc/map.do?q=Basa%20de%20la%20Mora%2C%20Cotiella</t>
  </si>
  <si>
    <t>Travesía Panticosa-Bujaruelo</t>
  </si>
  <si>
    <t>https://es.wikiloc.com/wikiloc/map.do?q=Traves%C3%ADa%20Panticosa-Bujaruelo</t>
  </si>
  <si>
    <t>La Estiva
Balcón de Pineta</t>
  </si>
  <si>
    <t>https://es.wikiloc.com/wikiloc/map.do?q=La%20Estiva%0ABalc%C3%B3n%20de%20Pineta</t>
  </si>
  <si>
    <t>M. de Leire - Arangoiti</t>
  </si>
  <si>
    <t>https://es.wikiloc.com/wikiloc/map.do?q=M.%20de%20Leire%20-%20Arangoiti</t>
  </si>
  <si>
    <t>Barranco de Sieste
Peña Canciás (intento)  (Panteres Grogues)</t>
  </si>
  <si>
    <t>https://es.wikiloc.com/wikiloc/map.do?q=Barranco%20de%20Sieste%0APe%C3%B1a%20Canci%C3%A1s%20%28intento%29%20%20%28Panteres%20Grogues%29</t>
  </si>
  <si>
    <t>Circular desde Colungo</t>
  </si>
  <si>
    <t>https://es.wikiloc.com/wikiloc/map.do?q=Circular%20desde%20Colungo</t>
  </si>
  <si>
    <t>Esqui de fondo
Estrechos de Albalate</t>
  </si>
  <si>
    <t>https://es.wikiloc.com/wikiloc/map.do?q=Esqui%20de%20fondo%0AEstrechos%20de%20Albalate</t>
  </si>
  <si>
    <t>Les Garrigues y el Montsant (Panteres Grogues)</t>
  </si>
  <si>
    <t>https://es.wikiloc.com/wikiloc/map.do?q=Les%20Garrigues%20y%20el%20Montsant%20%28Panteres%20Grogues%29</t>
  </si>
  <si>
    <t>Raquetas Pelopín</t>
  </si>
  <si>
    <t>https://es.wikiloc.com/wikiloc/map.do?q=Raquetas%20Pelop%C3%ADn</t>
  </si>
  <si>
    <t>Vallèe d’Ossau (RGP)</t>
  </si>
  <si>
    <t>https://es.wikiloc.com/wikiloc/map.do?q=Vall%C3%A8e%20d%E2%80%99Ossau%20%28RGP%29</t>
  </si>
  <si>
    <t>Encuentro de Montaña:  Bal d'Onsera
Acebal de Garagüeta (Soria)</t>
  </si>
  <si>
    <t>https://es.wikiloc.com/wikiloc/map.do?q=Encuentro%20de%20Monta%C3%B1a%3A%20%20Bal%20d%27Onsera%0AAcebal%20de%20Garag%C3%BCeta%20%28Soria%29</t>
  </si>
  <si>
    <t>Mesón de Mescún 
Vadiello hacia Nocito (G Madrid)</t>
  </si>
  <si>
    <t>https://es.wikiloc.com/wikiloc/map.do?q=Mes%C3%B3n%20de%20Mesc%C3%BAn%20%0AVadiello%20hacia%20Nocito%20%28G%20Madrid%29</t>
  </si>
  <si>
    <t>Barranco Fornos
Castillo Mayor</t>
  </si>
  <si>
    <t>https://es.wikiloc.com/wikiloc/map.do?q=Barranco%20Fornos%0ACastillo%20Mayor</t>
  </si>
  <si>
    <t>Lagos Azules
Picos Infiernos</t>
  </si>
  <si>
    <t>https://es.wikiloc.com/wikiloc/map.do?q=Lagos%20Azules%0APicos%20Infiernos</t>
  </si>
  <si>
    <t>Valle de Pineta
San Juan de Plan (circular)</t>
  </si>
  <si>
    <t>https://es.wikiloc.com/wikiloc/map.do?q=Valle%20de%20Pineta%0ASan%20Juan%20de%20Plan%20%28circular%29</t>
  </si>
  <si>
    <t>Pico Maze
Mesa de los Tres Reyes  (Panteres Grogues)</t>
  </si>
  <si>
    <t>https://es.wikiloc.com/wikiloc/map.do?q=Pico%20Maze%0AMesa%20de%20los%20Tres%20Reyes%20%20%28Panteres%20Grogues%29</t>
  </si>
  <si>
    <t>GR-15 Fanlo - Sarvisé</t>
  </si>
  <si>
    <t>https://es.wikiloc.com/wikiloc/map.do?q=GR-15%20Fanlo%20-%20Sarvis%C3%A9</t>
  </si>
  <si>
    <t>Muela de Montalbán</t>
  </si>
  <si>
    <t>https://es.wikiloc.com/wikiloc/map.do?q=Muela%20de%20Montalb%C3%A1n</t>
  </si>
  <si>
    <t>Circular Castillo de Peracense</t>
  </si>
  <si>
    <t>https://es.wikiloc.com/wikiloc/map.do?q=Circular%20Castillo%20de%20Peracense</t>
  </si>
  <si>
    <t>Raquetas Anayet</t>
  </si>
  <si>
    <t>https://es.wikiloc.com/wikiloc/map.do?q=Raquetas%20Anayet</t>
  </si>
  <si>
    <t>Barranco de Mascún</t>
  </si>
  <si>
    <t>https://es.wikiloc.com/wikiloc/map.do?q=Barranco%20de%20Masc%C3%BAn</t>
  </si>
  <si>
    <t>La Caixa y Perigañol
Circular estrechos de Arnes</t>
  </si>
  <si>
    <t>https://es.wikiloc.com/wikiloc/map.do?q=La%20Caixa%20y%20Periga%C3%B1ol%0ACircular%20estrechos%20de%20Arnes</t>
  </si>
  <si>
    <t>Sierra de Urbasa (Gehitu)</t>
  </si>
  <si>
    <t>https://es.wikiloc.com/wikiloc/map.do?q=Sierra%20de%20Urbasa%20%28Gehitu%29</t>
  </si>
  <si>
    <t>Ibones de Millás
Bachimala</t>
  </si>
  <si>
    <t>https://es.wikiloc.com/wikiloc/map.do?q=Ibones%20de%20Mill%C3%A1s%0ABachimala</t>
  </si>
  <si>
    <t>Lizara - Gabardito</t>
  </si>
  <si>
    <t>https://es.wikiloc.com/wikiloc/map.do?q=Lizara%20-%20Gabardito</t>
  </si>
  <si>
    <t>Alto Tajo: Barranco de la hoz</t>
  </si>
  <si>
    <t>https://es.wikiloc.com/wikiloc/map.do?q=Alto%20Tajo%3A%20Barranco%20de%20la%20hoz</t>
  </si>
  <si>
    <t>Vadiello: ermitas y el Huevo</t>
  </si>
  <si>
    <t>https://es.wikiloc.com/wikiloc/map.do?q=Vadiello%3A%20ermitas%20y%20el%20Huevo</t>
  </si>
  <si>
    <t>Fiscal - Sasé</t>
  </si>
  <si>
    <t>https://es.wikiloc.com/wikiloc/map.do?q=Fiscal%20-%20Sas%C3%A9</t>
  </si>
  <si>
    <t>Raquetas Aísa</t>
  </si>
  <si>
    <t>https://es.wikiloc.com/wikiloc/map.do?q=Raquetas%20A%C3%ADsa</t>
  </si>
  <si>
    <t>Peña Canciás (intento)
Ruta Serrablo (RGP)</t>
  </si>
  <si>
    <t>https://es.wikiloc.com/wikiloc/map.do?q=Pe%C3%B1a%20Canci%C3%A1s%20%28intento%29%0ARuta%20Serrablo%20%28RGP%29</t>
  </si>
  <si>
    <t>Valles del Jerte/ la Vera</t>
  </si>
  <si>
    <t>https://es.wikiloc.com/wikiloc/map.do?q=Valles%20del%20Jerte/%20la%20Vera</t>
  </si>
  <si>
    <t>La Espata y Collarada</t>
  </si>
  <si>
    <t>https://es.wikiloc.com/wikiloc/map.do?q=La%20Espata%20y%20Collarada</t>
  </si>
  <si>
    <t>Petrechema y Alanos (Gehitu)</t>
  </si>
  <si>
    <t>https://es.wikiloc.com/wikiloc/map.do?q=Petrechema%20y%20Alanos%20%28Gehitu%29</t>
  </si>
  <si>
    <t>El Aspe</t>
  </si>
  <si>
    <t>https://es.wikiloc.com/wikiloc/map.do?q=El%20Aspe</t>
  </si>
  <si>
    <t>Circo Gurrrundue y Morillo de Tou</t>
  </si>
  <si>
    <t>https://es.wikiloc.com/wikiloc/map.do?q=Circo%20Gurrrundue%20y%20Morillo%20de%20Tou</t>
  </si>
  <si>
    <t>Matarraña y Els Ports (Samarucs)</t>
  </si>
  <si>
    <t>https://es.wikiloc.com/wikiloc/map.do?q=Matarra%C3%B1a%20y%20Els%20Ports%20%28Samarucs%29</t>
  </si>
  <si>
    <t>Somport - Villanua</t>
  </si>
  <si>
    <t>https://es.wikiloc.com/wikiloc/map.do?q=Somport%20-%20Villanua</t>
  </si>
  <si>
    <t>Alcaine - Oliete</t>
  </si>
  <si>
    <t>https://es.wikiloc.com/wikiloc/map.do?q=Alcaine%20-%20Oliete</t>
  </si>
  <si>
    <t>Peña Gratal</t>
  </si>
  <si>
    <t>https://es.wikiloc.com/wikiloc/map.do?q=Pe%C3%B1a%20Gratal</t>
  </si>
  <si>
    <t>Raquetas en Mondoto y Pineta (Panteres Grogues)</t>
  </si>
  <si>
    <t>https://es.wikiloc.com/wikiloc/map.do?q=Raquetas%20en%20Mondoto%20y%20Pineta%20%28Panteres%20Grogues%29</t>
  </si>
  <si>
    <t>Guara - Belsué</t>
  </si>
  <si>
    <t>https://es.wikiloc.com/wikiloc/map.do?q=Guara%20-%20Belsu%C3%A9</t>
  </si>
  <si>
    <t>Chimiachas - Alquezar</t>
  </si>
  <si>
    <t>https://es.wikiloc.com/wikiloc/map.do?q=Chimiachas%20-%20Alquezar</t>
  </si>
  <si>
    <t>Entremon</t>
  </si>
  <si>
    <t>https://es.wikiloc.com/wikiloc/map.do?q=Entremon</t>
  </si>
  <si>
    <t>Almazorre-Lecina-Betorz</t>
  </si>
  <si>
    <t>https://es.wikiloc.com/wikiloc/map.do?q=Almazorre-Lecina-Betorz</t>
  </si>
  <si>
    <t>Zugarramurdi (Gehitu)</t>
  </si>
  <si>
    <t>https://es.wikiloc.com/wikiloc/map.do?q=Zugarramurdi%20%28Gehitu%29</t>
  </si>
  <si>
    <t>Anzotiello</t>
  </si>
  <si>
    <t>https://es.wikiloc.com/wikiloc/map.do?q=Anzotiello</t>
  </si>
  <si>
    <t>Trives y Ribera Sacra</t>
  </si>
  <si>
    <t>https://es.wikiloc.com/wikiloc/map.do?q=Trives%20y%20Ribera%20Sacra</t>
  </si>
  <si>
    <t>Hospice de France (RGP)</t>
  </si>
  <si>
    <t>https://es.wikiloc.com/wikiloc/map.do?q=Hospice%20de%20France%20%28RGP%29</t>
  </si>
  <si>
    <t>Circular Mallos de Riglos</t>
  </si>
  <si>
    <t>https://es.wikiloc.com/wikiloc/map.do?q=Circular%20Mallos%20de%20Riglos</t>
  </si>
  <si>
    <t>Sierra norte Guadalajara</t>
  </si>
  <si>
    <t>https://es.wikiloc.com/wikiloc/map.do?q=Sierra%20norte%20Guadalajara</t>
  </si>
  <si>
    <t>Hoces del río Piedra</t>
  </si>
  <si>
    <t>https://es.wikiloc.com/wikiloc/map.do?q=Hoces%20del%20r%C3%ADo%20Piedra</t>
  </si>
  <si>
    <t>Montserrat (Panteres Grogues)</t>
  </si>
  <si>
    <t>https://es.wikiloc.com/wikiloc/map.do?q=Montserrat%20%28Panteres%20Grogues%29</t>
  </si>
  <si>
    <t>Raquetas Lizara</t>
  </si>
  <si>
    <t>https://es.wikiloc.com/wikiloc/map.do?q=Raquetas%20Lizara</t>
  </si>
  <si>
    <t>Villarluengo</t>
  </si>
  <si>
    <t>https://es.wikiloc.com/wikiloc/map.do?q=Villarluengo</t>
  </si>
  <si>
    <t>Sierra Armantes</t>
  </si>
  <si>
    <t>https://es.wikiloc.com/wikiloc/map.do?q=Sierra%20Armantes</t>
  </si>
  <si>
    <t>Turbón
Sierra de Sis</t>
  </si>
  <si>
    <t>https://es.wikiloc.com/wikiloc/map.do?q=Turb%C3%B3n%0ASierra%20de%20Sis</t>
  </si>
  <si>
    <t>Barrosa y Chistau (RGP)</t>
  </si>
  <si>
    <t>https://es.wikiloc.com/wikiloc/map.do?q=Barrosa%20y%20Chistau%20%28RGP%29</t>
  </si>
  <si>
    <t>Travesía Gavarnie</t>
  </si>
  <si>
    <t>https://es.wikiloc.com/wikiloc/map.do?q=Traves%C3%ADa%20Gavarnie</t>
  </si>
  <si>
    <t>Camiño dos Faros</t>
  </si>
  <si>
    <t>https://es.wikiloc.com/wikiloc/map.do?q=Cami%C3%B1o%20dos%20Faros</t>
  </si>
  <si>
    <t>Carros de Foc
Valle de Otal</t>
  </si>
  <si>
    <t>https://es.wikiloc.com/wikiloc/map.do?q=Carros%20de%20Foc%0AValle%20de%20Otal</t>
  </si>
  <si>
    <t>Faja Racún y Canarellos</t>
  </si>
  <si>
    <t>https://es.wikiloc.com/wikiloc/map.do?q=Faja%20Rac%C3%BAn%20y%20Canarellos</t>
  </si>
  <si>
    <t>Acunuer-Larrosa</t>
  </si>
  <si>
    <t>https://es.wikiloc.com/wikiloc/map.do?q=Acunuer-Larrosa</t>
  </si>
  <si>
    <t>Bruello-Santa María de Buil</t>
  </si>
  <si>
    <t>https://es.wikiloc.com/wikiloc/map.do?q=Bruello-Santa%20Mar%C3%ADa%20de%20Buil</t>
  </si>
  <si>
    <t>Raquetas Portalet</t>
  </si>
  <si>
    <t>https://es.wikiloc.com/wikiloc/map.do?q=Raquetas%20Portalet</t>
  </si>
  <si>
    <t>Río Mesa</t>
  </si>
  <si>
    <t>https://es.wikiloc.com/wikiloc/map.do?q=R%C3%ADo%20Mesa</t>
  </si>
  <si>
    <t>Canal Imperial</t>
  </si>
  <si>
    <t>https://es.wikiloc.com/wikiloc/map.do?q=Canal%20Imperial</t>
  </si>
  <si>
    <t>Bergua-Escartín</t>
  </si>
  <si>
    <t>https://es.wikiloc.com/wikiloc/map.do?q=Bergua-Escart%C3%ADn</t>
  </si>
  <si>
    <t>Cueva Helada</t>
  </si>
  <si>
    <t>https://es.wikiloc.com/wikiloc/map.do?q=Cueva%20Helada</t>
  </si>
  <si>
    <t>Lescún (RGP)
Castanesa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</si>
  <si>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</si>
  <si>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</si>
  <si>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</si>
  <si>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</si>
  <si>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</si>
  <si>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</si>
  <si>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</si>
  <si>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</si>
  <si>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</si>
  <si>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</si>
  <si>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</si>
  <si>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</si>
  <si>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</si>
  <si>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</si>
  <si>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</si>
  <si>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</si>
  <si>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</si>
  <si>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</si>
  <si>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</si>
  <si>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</si>
  <si>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</si>
  <si>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</si>
  <si>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</si>
  <si>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</si>
  <si>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</si>
  <si>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</si>
  <si>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</si>
  <si>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</si>
  <si>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</si>
  <si>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</si>
  <si>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</si>
  <si>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</si>
  <si>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Circular Piarcés
Jubierre (RGP)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</si>
  <si>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</si>
  <si>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</si>
  <si>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</si>
  <si>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</si>
  <si>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</si>
  <si>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</si>
  <si>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</si>
  <si>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</si>
  <si>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</si>
  <si>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</si>
  <si>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</si>
  <si>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</si>
  <si>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</si>
  <si>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</si>
  <si>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</si>
  <si>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</si>
  <si>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</si>
  <si>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</si>
  <si>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</si>
  <si>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</si>
  <si>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</si>
  <si>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</si>
  <si>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</si>
  <si>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</si>
  <si>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</si>
  <si>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</si>
  <si>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</si>
  <si>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</si>
  <si>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</si>
  <si>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</si>
  <si>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</si>
  <si>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</si>
  <si>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</si>
  <si>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</si>
  <si>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</si>
  <si>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</si>
  <si>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</si>
  <si>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elaios; g-madrid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</si>
  <si>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</si>
  <si>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</si>
  <si>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</si>
  <si>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</si>
  <si>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</si>
  <si>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</si>
  <si>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</si>
  <si>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</si>
  <si>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</si>
  <si>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</si>
  <si>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</si>
  <si>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</si>
  <si>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</si>
  <si>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</si>
  <si>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</si>
  <si>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</si>
  <si>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</si>
  <si>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</si>
  <si>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</si>
  <si>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</si>
  <si>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</si>
  <si>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</si>
  <si>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</si>
  <si>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</si>
  <si>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</si>
  <si>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</si>
  <si>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</si>
  <si>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</si>
  <si>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</si>
  <si>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</si>
  <si>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</si>
  <si>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</si>
  <si>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</si>
  <si>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</si>
  <si>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</si>
  <si>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</si>
  <si>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</si>
  <si>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</si>
  <si>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</si>
  <si>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</si>
  <si>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</si>
  <si>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</si>
  <si>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</si>
  <si>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</si>
  <si>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</si>
  <si>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</si>
  <si>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</si>
  <si>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</si>
  <si>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</si>
  <si>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</si>
  <si>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</si>
  <si>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</si>
  <si>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</si>
  <si>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</si>
  <si>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</si>
  <si>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</si>
  <si>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</si>
  <si>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</si>
  <si>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</si>
  <si>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</si>
  <si>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</si>
  <si>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</si>
  <si>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</si>
  <si>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</si>
  <si>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</si>
  <si>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</si>
  <si>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</si>
  <si>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</si>
  <si>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</si>
  <si>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</si>
  <si>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</si>
  <si>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</si>
  <si>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</si>
  <si>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</si>
  <si>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</si>
  <si>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</si>
  <si>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</si>
  <si>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</si>
  <si>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</si>
  <si>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</si>
  <si>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</si>
  <si>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</si>
  <si>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</si>
  <si>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</si>
  <si>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</si>
  <si>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</si>
  <si>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</si>
  <si>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</si>
  <si>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Osqueta desde Villarluengo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</si>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</sst>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s.wikiloc.com/wikiloc/map.do?q=Alcaine%20-%20Oliete" TargetMode="External"/><Relationship Id="rId21" Type="http://schemas.openxmlformats.org/officeDocument/2006/relationships/hyperlink" Target="https://es.wikiloc.com/wikiloc/map.do?q=Respomuso" TargetMode="External"/><Relationship Id="rId42" Type="http://schemas.openxmlformats.org/officeDocument/2006/relationships/hyperlink" Target="https://es.wikiloc.com/wikiloc/map.do?q=Paniza" TargetMode="External"/><Relationship Id="rId63" Type="http://schemas.openxmlformats.org/officeDocument/2006/relationships/hyperlink" Target="https://es.wikiloc.com/wikiloc/map.do?q=Purujosa%20-%20El%20Morr%C3%B3n" TargetMode="External"/><Relationship Id="rId84" Type="http://schemas.openxmlformats.org/officeDocument/2006/relationships/hyperlink" Target="https://es.wikiloc.com/wikiloc/map.do?q=M.%20de%20Leire%20-%20Arangoiti" TargetMode="External"/><Relationship Id="rId138" Type="http://schemas.openxmlformats.org/officeDocument/2006/relationships/hyperlink" Target="https://es.wikiloc.com/wikiloc/map.do?q=Carros%20de%20Foc%0AValle%20de%20Otal" TargetMode="External"/><Relationship Id="rId159" Type="http://schemas.openxmlformats.org/officeDocument/2006/relationships/hyperlink" Target="https://es.wikiloc.com/wikiloc/map.do?q=Vuelta%20al%20Posets" TargetMode="External"/><Relationship Id="rId170" Type="http://schemas.openxmlformats.org/officeDocument/2006/relationships/hyperlink" Target="https://es.wikiloc.com/wikiloc/map.do?q=Ruta%203000%20ibones" TargetMode="External"/><Relationship Id="rId191" Type="http://schemas.openxmlformats.org/officeDocument/2006/relationships/hyperlink" Target="https://es.wikiloc.com/wikiloc/map.do?q=Raquetas%20Lizara" TargetMode="External"/><Relationship Id="rId205" Type="http://schemas.openxmlformats.org/officeDocument/2006/relationships/printerSettings" Target="../printerSettings/printerSettings1.bin"/><Relationship Id="rId107" Type="http://schemas.openxmlformats.org/officeDocument/2006/relationships/hyperlink" Target="https://es.wikiloc.com/wikiloc/map.do?q=Fiscal%20-%20Sas%C3%A9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2" Type="http://schemas.openxmlformats.org/officeDocument/2006/relationships/hyperlink" Target="https://es.wikiloc.com/wikiloc/map.do?q=Arguis%2C%20nacimiento%20Flumen" TargetMode="External"/><Relationship Id="rId53" Type="http://schemas.openxmlformats.org/officeDocument/2006/relationships/hyperlink" Target="https://es.wikiloc.com/wikiloc/map.do?q=San%20Caprasio" TargetMode="External"/><Relationship Id="rId74" Type="http://schemas.openxmlformats.org/officeDocument/2006/relationships/hyperlink" Target="https://es.wikiloc.com/wikiloc/map.do?q=Ans%C3%B3%2C%20bosque%20de%20Gamueta" TargetMode="External"/><Relationship Id="rId128" Type="http://schemas.openxmlformats.org/officeDocument/2006/relationships/hyperlink" Target="https://es.wikiloc.com/wikiloc/map.do?q=Sierra%20norte%20Guadalajara" TargetMode="External"/><Relationship Id="rId149" Type="http://schemas.openxmlformats.org/officeDocument/2006/relationships/hyperlink" Target="https://es.wikiloc.com/wikiloc/map.do?q=Lesc%C3%BAn%20%28RGP%29%0ACastanesa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95" Type="http://schemas.openxmlformats.org/officeDocument/2006/relationships/hyperlink" Target="https://es.wikiloc.com/wikiloc/map.do?q=Pico%20Maze%0AMesa%20de%20los%20Tres%20Reyes%20%20%28Panteres%20Grogues%29" TargetMode="External"/><Relationship Id="rId160" Type="http://schemas.openxmlformats.org/officeDocument/2006/relationships/hyperlink" Target="https://es.wikiloc.com/wikiloc/map.do?q=Vuelta%20al%20Midi" TargetMode="External"/><Relationship Id="rId181" Type="http://schemas.openxmlformats.org/officeDocument/2006/relationships/hyperlink" Target="https://es.wikiloc.com/wikiloc/map.do?q=Punta%20el%20Cuezo" TargetMode="External"/><Relationship Id="rId22" Type="http://schemas.openxmlformats.org/officeDocument/2006/relationships/hyperlink" Target="https://es.wikiloc.com/wikiloc/map.do?q=Valle%20de%20Tiermas" TargetMode="External"/><Relationship Id="rId43" Type="http://schemas.openxmlformats.org/officeDocument/2006/relationships/hyperlink" Target="https://es.wikiloc.com/wikiloc/map.do?q=Santa%20Orosia" TargetMode="External"/><Relationship Id="rId64" Type="http://schemas.openxmlformats.org/officeDocument/2006/relationships/hyperlink" Target="https://es.wikiloc.com/wikiloc/map.do?q=Sierra%20d%27Espad%C3%A1%2C%20Onda%2C%20Castell%C3%B3n%20%20%28Panteres%20Grogues%29" TargetMode="External"/><Relationship Id="rId118" Type="http://schemas.openxmlformats.org/officeDocument/2006/relationships/hyperlink" Target="https://es.wikiloc.com/wikiloc/map.do?q=Pe%C3%B1a%20Gratal" TargetMode="External"/><Relationship Id="rId139" Type="http://schemas.openxmlformats.org/officeDocument/2006/relationships/hyperlink" Target="https://es.wikiloc.com/wikiloc/map.do?q=Faja%20Rac%C3%BAn%20y%20Canarellos" TargetMode="External"/><Relationship Id="rId85" Type="http://schemas.openxmlformats.org/officeDocument/2006/relationships/hyperlink" Target="https://es.wikiloc.com/wikiloc/map.do?q=Barranco%20de%20Sieste%0APe%C3%B1a%20Canci%C3%A1s%20%28intento%29%20%20%28Panteres%20Grogues%29" TargetMode="External"/><Relationship Id="rId150" Type="http://schemas.openxmlformats.org/officeDocument/2006/relationships/hyperlink" Target="https://es.wikiloc.com/wikiloc/map.do?q=Canal%20Imperial" TargetMode="External"/><Relationship Id="rId171" Type="http://schemas.openxmlformats.org/officeDocument/2006/relationships/hyperlink" Target="https://es.wikiloc.com/wikiloc/map.do?q=Hoz%20Mayor%20en%20Fuendetodos" TargetMode="External"/><Relationship Id="rId192" Type="http://schemas.openxmlformats.org/officeDocument/2006/relationships/hyperlink" Target="https://es.wikiloc.com/wikiloc/map.do?q=Castillo%20de%20Acher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33" Type="http://schemas.openxmlformats.org/officeDocument/2006/relationships/hyperlink" Target="https://es.wikiloc.com/wikiloc/map.do?q=Pe%C3%B1as%20de%20Herrera%20%28intento%29" TargetMode="External"/><Relationship Id="rId108" Type="http://schemas.openxmlformats.org/officeDocument/2006/relationships/hyperlink" Target="https://es.wikiloc.com/wikiloc/map.do?q=Raquetas%20A%C3%ADsa" TargetMode="External"/><Relationship Id="rId129" Type="http://schemas.openxmlformats.org/officeDocument/2006/relationships/hyperlink" Target="https://es.wikiloc.com/wikiloc/map.do?q=Hoces%20del%20r%C3%ADo%20Piedra" TargetMode="External"/><Relationship Id="rId54" Type="http://schemas.openxmlformats.org/officeDocument/2006/relationships/hyperlink" Target="https://es.wikiloc.com/wikiloc/map.do?q=Anento" TargetMode="External"/><Relationship Id="rId75" Type="http://schemas.openxmlformats.org/officeDocument/2006/relationships/hyperlink" Target="https://es.wikiloc.com/wikiloc/map.do?q=Modorra%20de%20Cucal%C3%B3n" TargetMode="External"/><Relationship Id="rId96" Type="http://schemas.openxmlformats.org/officeDocument/2006/relationships/hyperlink" Target="https://es.wikiloc.com/wikiloc/map.do?q=GR-15%20Fanlo%20-%20Sarvis%C3%A9" TargetMode="External"/><Relationship Id="rId140" Type="http://schemas.openxmlformats.org/officeDocument/2006/relationships/hyperlink" Target="https://es.wikiloc.com/wikiloc/map.do?q=Acunuer-Larrosa" TargetMode="External"/><Relationship Id="rId161" Type="http://schemas.openxmlformats.org/officeDocument/2006/relationships/hyperlink" Target="https://es.wikiloc.com/wikiloc/map.do?q=Soria%20Covaleda" TargetMode="External"/><Relationship Id="rId182" Type="http://schemas.openxmlformats.org/officeDocument/2006/relationships/hyperlink" Target="https://es.wikiloc.com/wikiloc/map.do?q=Senda%20de%20Camille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23" Type="http://schemas.openxmlformats.org/officeDocument/2006/relationships/hyperlink" Target="https://es.wikiloc.com/wikiloc/map.do?q=La%20Alfranca" TargetMode="External"/><Relationship Id="rId119" Type="http://schemas.openxmlformats.org/officeDocument/2006/relationships/hyperlink" Target="https://es.wikiloc.com/wikiloc/map.do?q=Raquetas%20en%20Mondoto%20y%20Pineta%20%28Panteres%20Grogues%29" TargetMode="External"/><Relationship Id="rId44" Type="http://schemas.openxmlformats.org/officeDocument/2006/relationships/hyperlink" Target="https://es.wikiloc.com/wikiloc/map.do?q=Raquetas%20Estan%C3%A9s" TargetMode="External"/><Relationship Id="rId65" Type="http://schemas.openxmlformats.org/officeDocument/2006/relationships/hyperlink" Target="https://es.wikiloc.com/wikiloc/map.do?q=Bierge" TargetMode="External"/><Relationship Id="rId86" Type="http://schemas.openxmlformats.org/officeDocument/2006/relationships/hyperlink" Target="https://es.wikiloc.com/wikiloc/map.do?q=Circular%20desde%20Colungo" TargetMode="External"/><Relationship Id="rId130" Type="http://schemas.openxmlformats.org/officeDocument/2006/relationships/hyperlink" Target="https://es.wikiloc.com/wikiloc/map.do?q=Puchilibro" TargetMode="External"/><Relationship Id="rId151" Type="http://schemas.openxmlformats.org/officeDocument/2006/relationships/hyperlink" Target="https://es.wikiloc.com/wikiloc/map.do?q=Cresta%20de%20Balces%201" TargetMode="External"/><Relationship Id="rId172" Type="http://schemas.openxmlformats.org/officeDocument/2006/relationships/hyperlink" Target="https://es.wikiloc.com/wikiloc/map.do?q=Circular%20Fanlo%20Chate" TargetMode="External"/><Relationship Id="rId193" Type="http://schemas.openxmlformats.org/officeDocument/2006/relationships/hyperlink" Target="https://es.wikiloc.com/wikiloc/map.do?q=Castillo%20Mayor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09" Type="http://schemas.openxmlformats.org/officeDocument/2006/relationships/hyperlink" Target="https://es.wikiloc.com/wikiloc/map.do?q=Barranco%20de%20Masc%C3%BAn" TargetMode="External"/><Relationship Id="rId34" Type="http://schemas.openxmlformats.org/officeDocument/2006/relationships/hyperlink" Target="https://es.wikiloc.com/wikiloc/map.do?q=Raquetas%20Tramacastilla" TargetMode="External"/><Relationship Id="rId55" Type="http://schemas.openxmlformats.org/officeDocument/2006/relationships/hyperlink" Target="https://es.wikiloc.com/wikiloc/map.do?q=Ob%C3%B3n%20-%20Alcaine" TargetMode="External"/><Relationship Id="rId76" Type="http://schemas.openxmlformats.org/officeDocument/2006/relationships/hyperlink" Target="https://es.wikiloc.com/wikiloc/map.do?q=Sierra%20de%20Santo%20Domingo%20-%20Biel" TargetMode="External"/><Relationship Id="rId97" Type="http://schemas.openxmlformats.org/officeDocument/2006/relationships/hyperlink" Target="https://es.wikiloc.com/wikiloc/map.do?q=Muela%20de%20Montalb%C3%A1n" TargetMode="External"/><Relationship Id="rId120" Type="http://schemas.openxmlformats.org/officeDocument/2006/relationships/hyperlink" Target="https://es.wikiloc.com/wikiloc/map.do?q=Guara%20-%20Belsu%C3%A9" TargetMode="External"/><Relationship Id="rId141" Type="http://schemas.openxmlformats.org/officeDocument/2006/relationships/hyperlink" Target="https://es.wikiloc.com/wikiloc/map.do?q=Pico%20del%20%C3%81guila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62" Type="http://schemas.openxmlformats.org/officeDocument/2006/relationships/hyperlink" Target="https://es.wikiloc.com/wikiloc/map.do?q=Crestas%20de%20Balces%202" TargetMode="External"/><Relationship Id="rId183" Type="http://schemas.openxmlformats.org/officeDocument/2006/relationships/hyperlink" Target="https://es.wikiloc.com/wikiloc/map.do?q=Ibones%20de%20Angli%C3%B3s%20y%20Llauset%0APico%20Vallibierna" TargetMode="External"/><Relationship Id="rId24" Type="http://schemas.openxmlformats.org/officeDocument/2006/relationships/hyperlink" Target="https://es.wikiloc.com/wikiloc/map.do?q=Raquetas%20Piedrafita" TargetMode="External"/><Relationship Id="rId40" Type="http://schemas.openxmlformats.org/officeDocument/2006/relationships/hyperlink" Target="https://es.wikiloc.com/wikiloc/map.do?q=Pe%C3%B1as%20de%20Herrera" TargetMode="External"/><Relationship Id="rId45" Type="http://schemas.openxmlformats.org/officeDocument/2006/relationships/hyperlink" Target="https://es.wikiloc.com/wikiloc/map.do?q=San%20Chin%C3%A9s%20en%20Vadiello" TargetMode="External"/><Relationship Id="rId66" Type="http://schemas.openxmlformats.org/officeDocument/2006/relationships/hyperlink" Target="https://es.wikiloc.com/wikiloc/map.do?q=Foz%20de%20Salinas%20y%20la%20Osqueta" TargetMode="External"/><Relationship Id="rId87" Type="http://schemas.openxmlformats.org/officeDocument/2006/relationships/hyperlink" Target="https://es.wikiloc.com/wikiloc/map.do?q=Esqui%20de%20fondo%0AEstrechos%20de%20Albalate" TargetMode="External"/><Relationship Id="rId110" Type="http://schemas.openxmlformats.org/officeDocument/2006/relationships/hyperlink" Target="https://es.wikiloc.com/wikiloc/map.do?q=Pe%C3%B1a%20Canci%C3%A1s%20%28intento%29%0ARuta%20Serrablo%20%28RGP%29" TargetMode="External"/><Relationship Id="rId115" Type="http://schemas.openxmlformats.org/officeDocument/2006/relationships/hyperlink" Target="https://es.wikiloc.com/wikiloc/map.do?q=Matarra%C3%B1a%20y%20Els%20Ports%20%28Samarucs%29" TargetMode="External"/><Relationship Id="rId131" Type="http://schemas.openxmlformats.org/officeDocument/2006/relationships/hyperlink" Target="https://es.wikiloc.com/wikiloc/map.do?q=Montserrat%20%28Panteres%20Grogues%29" TargetMode="External"/><Relationship Id="rId136" Type="http://schemas.openxmlformats.org/officeDocument/2006/relationships/hyperlink" Target="https://es.wikiloc.com/wikiloc/map.do?q=Traves%C3%ADa%20Gavarnie" TargetMode="External"/><Relationship Id="rId157" Type="http://schemas.openxmlformats.org/officeDocument/2006/relationships/hyperlink" Target="https://es.wikiloc.com/wikiloc/map.do?q=Ermitas%20de%20Bonansa%0ATurb%C3%B3n" TargetMode="External"/><Relationship Id="rId178" Type="http://schemas.openxmlformats.org/officeDocument/2006/relationships/hyperlink" Target="https://es.wikiloc.com/wikiloc/map.do?q=Sierra%20de%20And%C3%ADa%20y%20Valle%20de%20Ollo" TargetMode="External"/><Relationship Id="rId61" Type="http://schemas.openxmlformats.org/officeDocument/2006/relationships/hyperlink" Target="https://es.wikiloc.com/wikiloc/map.do?q=Ib%C3%B3n%20de%20Piedrafita%20y%20Arco" TargetMode="External"/><Relationship Id="rId82" Type="http://schemas.openxmlformats.org/officeDocument/2006/relationships/hyperlink" Target="https://es.wikiloc.com/wikiloc/map.do?q=Traves%C3%ADa%20Panticosa-Bujaruelo" TargetMode="External"/><Relationship Id="rId152" Type="http://schemas.openxmlformats.org/officeDocument/2006/relationships/hyperlink" Target="https://es.wikiloc.com/wikiloc/map.do?q=Alto%20de%20Herrera" TargetMode="External"/><Relationship Id="rId173" Type="http://schemas.openxmlformats.org/officeDocument/2006/relationships/hyperlink" Target="https://es.wikiloc.com/wikiloc/map.do?q=Muela%20de%20Berat%C3%B3n" TargetMode="External"/><Relationship Id="rId194" Type="http://schemas.openxmlformats.org/officeDocument/2006/relationships/hyperlink" Target="https://es.wikiloc.com/wikiloc/map.do?q=Pico%20Baci%C3%A1s" TargetMode="External"/><Relationship Id="rId19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20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9" Type="http://schemas.openxmlformats.org/officeDocument/2006/relationships/hyperlink" Target="https://es.wikiloc.com/wikiloc/map.do?q=Villanua%20dolmen" TargetMode="External"/><Relationship Id="rId14" Type="http://schemas.openxmlformats.org/officeDocument/2006/relationships/hyperlink" Target="https://es.wikiloc.com/wikiloc/map.do?q=Pe%C3%B1a%20Oroel" TargetMode="External"/><Relationship Id="rId30" Type="http://schemas.openxmlformats.org/officeDocument/2006/relationships/hyperlink" Target="https://es.wikiloc.com/wikiloc/map.do?q=Canal%20de%20Iz%C3%A1s" TargetMode="External"/><Relationship Id="rId35" Type="http://schemas.openxmlformats.org/officeDocument/2006/relationships/hyperlink" Target="https://es.wikiloc.com/wikiloc/map.do?q=Riglos%20y%20Foz%20de%20Escalete" TargetMode="External"/><Relationship Id="rId56" Type="http://schemas.openxmlformats.org/officeDocument/2006/relationships/hyperlink" Target="https://es.wikiloc.com/wikiloc/map.do?q=Revilla%2C%20Mondoto%20%28RGP%29" TargetMode="External"/><Relationship Id="rId77" Type="http://schemas.openxmlformats.org/officeDocument/2006/relationships/hyperlink" Target="https://es.wikiloc.com/wikiloc/map.do?q=Ordesa%2C%20Raquetas" TargetMode="External"/><Relationship Id="rId100" Type="http://schemas.openxmlformats.org/officeDocument/2006/relationships/hyperlink" Target="https://es.wikiloc.com/wikiloc/map.do?q=Barranco%20de%20Masc%C3%BAn" TargetMode="External"/><Relationship Id="rId105" Type="http://schemas.openxmlformats.org/officeDocument/2006/relationships/hyperlink" Target="https://es.wikiloc.com/wikiloc/map.do?q=Alto%20Tajo%3A%20Barranco%20de%20la%20hoz" TargetMode="External"/><Relationship Id="rId126" Type="http://schemas.openxmlformats.org/officeDocument/2006/relationships/hyperlink" Target="https://es.wikiloc.com/wikiloc/map.do?q=Hospice%20de%20France%20%28RGP%29" TargetMode="External"/><Relationship Id="rId147" Type="http://schemas.openxmlformats.org/officeDocument/2006/relationships/hyperlink" Target="https://es.wikiloc.com/wikiloc/map.do?q=Bergua-Escart%C3%ADn" TargetMode="External"/><Relationship Id="rId168" Type="http://schemas.openxmlformats.org/officeDocument/2006/relationships/hyperlink" Target="https://es.wikiloc.com/wikiloc/map.do?q=Camino%20del%20canal%20y%20ermitas%20de%20Tella%0APunta%20Pegueras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Canal%20de%20Bielsa" TargetMode="External"/><Relationship Id="rId72" Type="http://schemas.openxmlformats.org/officeDocument/2006/relationships/hyperlink" Target="https://es.wikiloc.com/wikiloc/map.do?q=Traves%C3%ADa%20Benasque-%20la%20Glera" TargetMode="External"/><Relationship Id="rId93" Type="http://schemas.openxmlformats.org/officeDocument/2006/relationships/hyperlink" Target="https://es.wikiloc.com/wikiloc/map.do?q=Lagos%20Azules%0APicos%20Infiernos" TargetMode="External"/><Relationship Id="rId98" Type="http://schemas.openxmlformats.org/officeDocument/2006/relationships/hyperlink" Target="https://es.wikiloc.com/wikiloc/map.do?q=Circular%20Castillo%20de%20Peracense" TargetMode="External"/><Relationship Id="rId121" Type="http://schemas.openxmlformats.org/officeDocument/2006/relationships/hyperlink" Target="https://es.wikiloc.com/wikiloc/map.do?q=Chimiachas%20-%20Alquezar" TargetMode="External"/><Relationship Id="rId142" Type="http://schemas.openxmlformats.org/officeDocument/2006/relationships/hyperlink" Target="https://es.wikiloc.com/wikiloc/map.do?q=Bruello-Santa%20Mar%C3%ADa%20de%20Buil" TargetMode="External"/><Relationship Id="rId163" Type="http://schemas.openxmlformats.org/officeDocument/2006/relationships/hyperlink" Target="https://es.wikiloc.com/wikiloc/map.do?q=Bardena%20negra" TargetMode="External"/><Relationship Id="rId184" Type="http://schemas.openxmlformats.org/officeDocument/2006/relationships/hyperlink" Target="https://es.wikiloc.com/wikiloc/map.do?q=Fin%20de%20semana%20en%20el%20Alt%20Urgell%20%28Panteres%20Grogues%29" TargetMode="External"/><Relationship Id="rId189" Type="http://schemas.openxmlformats.org/officeDocument/2006/relationships/hyperlink" Target="https://es.wikiloc.com/wikiloc/map.do?q=La%20Espata%20y%20Collarad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25" Type="http://schemas.openxmlformats.org/officeDocument/2006/relationships/hyperlink" Target="https://es.wikiloc.com/wikiloc/map.do?q=Puchilibro" TargetMode="External"/><Relationship Id="rId46" Type="http://schemas.openxmlformats.org/officeDocument/2006/relationships/hyperlink" Target="https://es.wikiloc.com/wikiloc/map.do?q=GR92%20%28Panteres%20Grogues%29" TargetMode="External"/><Relationship Id="rId67" Type="http://schemas.openxmlformats.org/officeDocument/2006/relationships/hyperlink" Target="https://es.wikiloc.com/wikiloc/map.do?q=Valle%20d%E2%80%99Ossau%20%28RGP%29" TargetMode="External"/><Relationship Id="rId116" Type="http://schemas.openxmlformats.org/officeDocument/2006/relationships/hyperlink" Target="https://es.wikiloc.com/wikiloc/map.do?q=Somport%20-%20Villanua" TargetMode="External"/><Relationship Id="rId137" Type="http://schemas.openxmlformats.org/officeDocument/2006/relationships/hyperlink" Target="https://es.wikiloc.com/wikiloc/map.do?q=Cami%C3%B1o%20dos%20Faros" TargetMode="External"/><Relationship Id="rId158" Type="http://schemas.openxmlformats.org/officeDocument/2006/relationships/hyperlink" Target="https://es.wikiloc.com/wikiloc/map.do?q=Valle%20de%20Ordiso%0APico%20Bernatuara" TargetMode="External"/><Relationship Id="rId20" Type="http://schemas.openxmlformats.org/officeDocument/2006/relationships/hyperlink" Target="https://es.wikiloc.com/wikiloc/map.do?q=Tuca%20Mulleres" TargetMode="External"/><Relationship Id="rId41" Type="http://schemas.openxmlformats.org/officeDocument/2006/relationships/hyperlink" Target="https://es.wikiloc.com/wikiloc/map.do?q=Hoces%20del%20r%C3%ADo%20Mesa" TargetMode="External"/><Relationship Id="rId62" Type="http://schemas.openxmlformats.org/officeDocument/2006/relationships/hyperlink" Target="https://es.wikiloc.com/wikiloc/map.do?q=Circular%20Fanlo%20-%20Comiello" TargetMode="External"/><Relationship Id="rId83" Type="http://schemas.openxmlformats.org/officeDocument/2006/relationships/hyperlink" Target="https://es.wikiloc.com/wikiloc/map.do?q=La%20Estiva%0ABalc%C3%B3n%20de%20Pineta" TargetMode="External"/><Relationship Id="rId88" Type="http://schemas.openxmlformats.org/officeDocument/2006/relationships/hyperlink" Target="https://es.wikiloc.com/wikiloc/map.do?q=Les%20Garrigues%20y%20el%20Montsant%20%28Panteres%20Grogues%29" TargetMode="External"/><Relationship Id="rId111" Type="http://schemas.openxmlformats.org/officeDocument/2006/relationships/hyperlink" Target="https://es.wikiloc.com/wikiloc/map.do?q=Valles%20del%20Jerte/%20la%20Vera" TargetMode="External"/><Relationship Id="rId132" Type="http://schemas.openxmlformats.org/officeDocument/2006/relationships/hyperlink" Target="https://es.wikiloc.com/wikiloc/map.do?q=Villarluengo" TargetMode="External"/><Relationship Id="rId153" Type="http://schemas.openxmlformats.org/officeDocument/2006/relationships/hyperlink" Target="https://es.wikiloc.com/wikiloc/map.do?q=Sierra%20de%20Algair%C3%A9n" TargetMode="External"/><Relationship Id="rId174" Type="http://schemas.openxmlformats.org/officeDocument/2006/relationships/hyperlink" Target="https://es.wikiloc.com/wikiloc/map.do?q=Biscarru%C3%A9s" TargetMode="External"/><Relationship Id="rId179" Type="http://schemas.openxmlformats.org/officeDocument/2006/relationships/hyperlink" Target="https://es.wikiloc.com/wikiloc/map.do?q=Asturias%3A%20Sierra%20de%20las%20Ubi%C3%B1as" TargetMode="External"/><Relationship Id="rId195" Type="http://schemas.openxmlformats.org/officeDocument/2006/relationships/hyperlink" Target="https://es.wikiloc.com/wikiloc/map.do?q=Pico%20del%20Puerto%20Viejo" TargetMode="External"/><Relationship Id="rId190" Type="http://schemas.openxmlformats.org/officeDocument/2006/relationships/hyperlink" Target="https://es.wikiloc.com/wikiloc/map.do?q=Almazorre-Lecina-Betorz" TargetMode="External"/><Relationship Id="rId204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15" Type="http://schemas.openxmlformats.org/officeDocument/2006/relationships/hyperlink" Target="https://es.wikiloc.com/wikiloc/map.do?q=Ani%C3%A9s" TargetMode="External"/><Relationship Id="rId36" Type="http://schemas.openxmlformats.org/officeDocument/2006/relationships/hyperlink" Target="https://es.wikiloc.com/wikiloc/map.do?q=Calomarde%20-%20Fr%C3%ADas%20de%20Albarrac%C3%ADn" TargetMode="External"/><Relationship Id="rId57" Type="http://schemas.openxmlformats.org/officeDocument/2006/relationships/hyperlink" Target="https://es.wikiloc.com/wikiloc/map.do?q=Pe%C3%B1a%20Monta%C3%B1esa%20%28intento%29" TargetMode="External"/><Relationship Id="rId106" Type="http://schemas.openxmlformats.org/officeDocument/2006/relationships/hyperlink" Target="https://es.wikiloc.com/wikiloc/map.do?q=Vadiello%3A%20ermitas%20y%20el%20Huevo" TargetMode="External"/><Relationship Id="rId127" Type="http://schemas.openxmlformats.org/officeDocument/2006/relationships/hyperlink" Target="https://es.wikiloc.com/wikiloc/map.do?q=Circular%20Mallos%20de%20Riglos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San%20Juan%20de%20la%20Pe%C3%B1a" TargetMode="External"/><Relationship Id="rId52" Type="http://schemas.openxmlformats.org/officeDocument/2006/relationships/hyperlink" Target="https://es.wikiloc.com/wikiloc/map.do?q=Sobrepuerto%20-%20Ainielle" TargetMode="External"/><Relationship Id="rId73" Type="http://schemas.openxmlformats.org/officeDocument/2006/relationships/hyperlink" Target="https://es.wikiloc.com/wikiloc/map.do?q=Lecina%20-%20Betorz" TargetMode="External"/><Relationship Id="rId78" Type="http://schemas.openxmlformats.org/officeDocument/2006/relationships/hyperlink" Target="https://es.wikiloc.com/wikiloc/map.do?q=Moncayo%20raquetas" TargetMode="External"/><Relationship Id="rId94" Type="http://schemas.openxmlformats.org/officeDocument/2006/relationships/hyperlink" Target="https://es.wikiloc.com/wikiloc/map.do?q=Valle%20de%20Pineta%0ASan%20Juan%20de%20Plan%20%28circular%29" TargetMode="External"/><Relationship Id="rId99" Type="http://schemas.openxmlformats.org/officeDocument/2006/relationships/hyperlink" Target="https://es.wikiloc.com/wikiloc/map.do?q=Raquetas%20Anayet" TargetMode="External"/><Relationship Id="rId101" Type="http://schemas.openxmlformats.org/officeDocument/2006/relationships/hyperlink" Target="https://es.wikiloc.com/wikiloc/map.do?q=La%20Caixa%20y%20Periga%C3%B1ol%0ACircular%20estrechos%20de%20Arnes" TargetMode="External"/><Relationship Id="rId122" Type="http://schemas.openxmlformats.org/officeDocument/2006/relationships/hyperlink" Target="https://es.wikiloc.com/wikiloc/map.do?q=Entremon" TargetMode="External"/><Relationship Id="rId143" Type="http://schemas.openxmlformats.org/officeDocument/2006/relationships/hyperlink" Target="https://es.wikiloc.com/wikiloc/map.do?q=Raquetas%20Portalet" TargetMode="External"/><Relationship Id="rId148" Type="http://schemas.openxmlformats.org/officeDocument/2006/relationships/hyperlink" Target="https://es.wikiloc.com/wikiloc/map.do?q=Cueva%20Helada" TargetMode="External"/><Relationship Id="rId164" Type="http://schemas.openxmlformats.org/officeDocument/2006/relationships/hyperlink" Target="https://es.wikiloc.com/wikiloc/map.do?q=Osqueta%20desde%20Villarluego" TargetMode="External"/><Relationship Id="rId169" Type="http://schemas.openxmlformats.org/officeDocument/2006/relationships/hyperlink" Target="https://es.wikiloc.com/wikiloc/map.do?q=Circular%20Aso%20de%20Sobremonte" TargetMode="External"/><Relationship Id="rId185" Type="http://schemas.openxmlformats.org/officeDocument/2006/relationships/hyperlink" Target="https://es.wikiloc.com/wikiloc/map.do?q=Pe%C3%B1a%20Palomera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80" Type="http://schemas.openxmlformats.org/officeDocument/2006/relationships/hyperlink" Target="https://es.wikiloc.com/wikiloc/map.do?q=Reserva%20natural%20de%20N%C3%A9ouvielle%20%0ASaint-Lary%20Soulan%20%28RGP%29" TargetMode="External"/><Relationship Id="rId26" Type="http://schemas.openxmlformats.org/officeDocument/2006/relationships/hyperlink" Target="https://es.wikiloc.com/wikiloc/map.do?q=Nacimiento%20del%20Pitarque" TargetMode="External"/><Relationship Id="rId47" Type="http://schemas.openxmlformats.org/officeDocument/2006/relationships/hyperlink" Target="https://es.wikiloc.com/wikiloc/map.do?q=Bco%20Masc%C3%BAn" TargetMode="External"/><Relationship Id="rId68" Type="http://schemas.openxmlformats.org/officeDocument/2006/relationships/hyperlink" Target="https://es.wikiloc.com/wikiloc/map.do?q=Sierra%20de%20Cantabria%20%0APe%C3%B1as%20Islallana" TargetMode="External"/><Relationship Id="rId89" Type="http://schemas.openxmlformats.org/officeDocument/2006/relationships/hyperlink" Target="https://es.wikiloc.com/wikiloc/map.do?q=Vall%C3%A8e%20d%E2%80%99Ossau%20%28RGP%29" TargetMode="External"/><Relationship Id="rId112" Type="http://schemas.openxmlformats.org/officeDocument/2006/relationships/hyperlink" Target="https://es.wikiloc.com/wikiloc/map.do?q=Petrechema%20y%20Alanos%20%28Gehitu%29" TargetMode="External"/><Relationship Id="rId133" Type="http://schemas.openxmlformats.org/officeDocument/2006/relationships/hyperlink" Target="https://es.wikiloc.com/wikiloc/map.do?q=Sierra%20Armantes" TargetMode="External"/><Relationship Id="rId154" Type="http://schemas.openxmlformats.org/officeDocument/2006/relationships/hyperlink" Target="https://es.wikiloc.com/wikiloc/map.do?q=Barrancos%20de%20Azpe%20y%20Abellada" TargetMode="External"/><Relationship Id="rId175" Type="http://schemas.openxmlformats.org/officeDocument/2006/relationships/hyperlink" Target="https://es.wikiloc.com/wikiloc/map.do?q=Ayera" TargetMode="External"/><Relationship Id="rId19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20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16" Type="http://schemas.openxmlformats.org/officeDocument/2006/relationships/hyperlink" Target="https://es.wikiloc.com/wikiloc/map.do?q=Santa%20Orosia" TargetMode="External"/><Relationship Id="rId37" Type="http://schemas.openxmlformats.org/officeDocument/2006/relationships/hyperlink" Target="https://es.wikiloc.com/wikiloc/map.do?q=Canal%20Roya" TargetMode="External"/><Relationship Id="rId58" Type="http://schemas.openxmlformats.org/officeDocument/2006/relationships/hyperlink" Target="https://es.wikiloc.com/wikiloc/map.do?q=Beceite%2C%20Parrisal" TargetMode="External"/><Relationship Id="rId79" Type="http://schemas.openxmlformats.org/officeDocument/2006/relationships/hyperlink" Target="https://es.wikiloc.com/wikiloc/map.do?q=Montsec%2C%20Mont-Rebei" TargetMode="External"/><Relationship Id="rId102" Type="http://schemas.openxmlformats.org/officeDocument/2006/relationships/hyperlink" Target="https://es.wikiloc.com/wikiloc/map.do?q=Sierra%20de%20Urbasa%20%28Gehitu%29" TargetMode="External"/><Relationship Id="rId123" Type="http://schemas.openxmlformats.org/officeDocument/2006/relationships/hyperlink" Target="https://es.wikiloc.com/wikiloc/map.do?q=Zugarramurdi%20%28Gehitu%29" TargetMode="External"/><Relationship Id="rId144" Type="http://schemas.openxmlformats.org/officeDocument/2006/relationships/hyperlink" Target="https://es.wikiloc.com/wikiloc/map.do?q=Moncayo" TargetMode="External"/><Relationship Id="rId90" Type="http://schemas.openxmlformats.org/officeDocument/2006/relationships/hyperlink" Target="https://es.wikiloc.com/wikiloc/map.do?q=Encuentro%20de%20Monta%C3%B1a%3A%20%20Bal%20d%27Onsera%0AAcebal%20de%20Garag%C3%BCeta%20%28Soria%29" TargetMode="External"/><Relationship Id="rId165" Type="http://schemas.openxmlformats.org/officeDocument/2006/relationships/hyperlink" Target="https://es.wikiloc.com/wikiloc/map.do?q=Rutas%20Valle%20de%20Izki" TargetMode="External"/><Relationship Id="rId186" Type="http://schemas.openxmlformats.org/officeDocument/2006/relationships/hyperlink" Target="https://es.wikiloc.com/wikiloc/map.do?q=Retuerta%20de%20Pina" TargetMode="External"/><Relationship Id="rId27" Type="http://schemas.openxmlformats.org/officeDocument/2006/relationships/hyperlink" Target="https://es.wikiloc.com/wikiloc/map.do?q=Valle%20de%20Ordiso%20/%20Valle%20de%20Otal" TargetMode="External"/><Relationship Id="rId48" Type="http://schemas.openxmlformats.org/officeDocument/2006/relationships/hyperlink" Target="https://es.wikiloc.com/wikiloc/map.do?q=Pazino" TargetMode="External"/><Relationship Id="rId69" Type="http://schemas.openxmlformats.org/officeDocument/2006/relationships/hyperlink" Target="https://es.wikiloc.com/wikiloc/map.do?q=Vuelta%20al%20Masmut%20%20%28Panteres%20Grogues%29%0APe%C3%B1agalera" TargetMode="External"/><Relationship Id="rId113" Type="http://schemas.openxmlformats.org/officeDocument/2006/relationships/hyperlink" Target="https://es.wikiloc.com/wikiloc/map.do?q=El%20Aspe" TargetMode="External"/><Relationship Id="rId134" Type="http://schemas.openxmlformats.org/officeDocument/2006/relationships/hyperlink" Target="https://es.wikiloc.com/wikiloc/map.do?q=Turb%C3%B3n%0ASierra%20de%20Sis" TargetMode="External"/><Relationship Id="rId80" Type="http://schemas.openxmlformats.org/officeDocument/2006/relationships/hyperlink" Target="https://es.wikiloc.com/wikiloc/map.do?q=Tozal%20de%20Guara" TargetMode="External"/><Relationship Id="rId155" Type="http://schemas.openxmlformats.org/officeDocument/2006/relationships/hyperlink" Target="https://es.wikiloc.com/wikiloc/map.do?q=Castillo%20y%20ermita%20de%20Ord%C3%A1s" TargetMode="External"/><Relationship Id="rId176" Type="http://schemas.openxmlformats.org/officeDocument/2006/relationships/hyperlink" Target="https://es.wikiloc.com/wikiloc/map.do?q=Muro%20de%20Roda" TargetMode="External"/><Relationship Id="rId19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20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7" Type="http://schemas.openxmlformats.org/officeDocument/2006/relationships/hyperlink" Target="https://es.wikiloc.com/wikiloc/map.do?q=Pico%20del%20%C3%81guila" TargetMode="External"/><Relationship Id="rId38" Type="http://schemas.openxmlformats.org/officeDocument/2006/relationships/hyperlink" Target="https://es.wikiloc.com/wikiloc/map.do?q=Senda%20Cazadores" TargetMode="External"/><Relationship Id="rId59" Type="http://schemas.openxmlformats.org/officeDocument/2006/relationships/hyperlink" Target="https://es.wikiloc.com/wikiloc/map.do?q=Aguastuertas%0ACastillo%20de%20Acher" TargetMode="External"/><Relationship Id="rId103" Type="http://schemas.openxmlformats.org/officeDocument/2006/relationships/hyperlink" Target="https://es.wikiloc.com/wikiloc/map.do?q=Ibones%20de%20Mill%C3%A1s%0ABachimala" TargetMode="External"/><Relationship Id="rId124" Type="http://schemas.openxmlformats.org/officeDocument/2006/relationships/hyperlink" Target="https://es.wikiloc.com/wikiloc/map.do?q=Anzotiello" TargetMode="External"/><Relationship Id="rId70" Type="http://schemas.openxmlformats.org/officeDocument/2006/relationships/hyperlink" Target="https://es.wikiloc.com/wikiloc/map.do?q=Pe%C3%B1a%20Monta%C3%B1esa" TargetMode="External"/><Relationship Id="rId91" Type="http://schemas.openxmlformats.org/officeDocument/2006/relationships/hyperlink" Target="https://es.wikiloc.com/wikiloc/map.do?q=Mes%C3%B3n%20de%20Mesc%C3%BAn%20%0AVadiello%20hacia%20Nocito%20%28G%20Madrid%29" TargetMode="External"/><Relationship Id="rId145" Type="http://schemas.openxmlformats.org/officeDocument/2006/relationships/hyperlink" Target="https://es.wikiloc.com/wikiloc/map.do?q=R%C3%ADo%20Mesa" TargetMode="External"/><Relationship Id="rId166" Type="http://schemas.openxmlformats.org/officeDocument/2006/relationships/hyperlink" Target="https://es.wikiloc.com/wikiloc/map.do?q=GR-92%20y%20Sierra%20Mestral" TargetMode="External"/><Relationship Id="rId187" Type="http://schemas.openxmlformats.org/officeDocument/2006/relationships/hyperlink" Target="https://es.wikiloc.com/wikiloc/map.do?q=Leci%C3%B1ena%20y%20Salto%20del%20Rold%C3%A1n%20%28RGP%29" TargetMode="External"/><Relationship Id="rId1" Type="http://schemas.openxmlformats.org/officeDocument/2006/relationships/hyperlink" Target="https://es.wikiloc.com/wikiloc/map.do?q=Arco%20de%20Gratal" TargetMode="External"/><Relationship Id="rId28" Type="http://schemas.openxmlformats.org/officeDocument/2006/relationships/hyperlink" Target="https://es.wikiloc.com/wikiloc/map.do?q=Moncayo" TargetMode="External"/><Relationship Id="rId49" Type="http://schemas.openxmlformats.org/officeDocument/2006/relationships/hyperlink" Target="https://es.wikiloc.com/wikiloc/map.do?q=Traves%C3%ADa%20Candanch%C3%BA%0ALizara%20Canfranc%20%28Panteres%20Grogues%29" TargetMode="External"/><Relationship Id="rId114" Type="http://schemas.openxmlformats.org/officeDocument/2006/relationships/hyperlink" Target="https://es.wikiloc.com/wikiloc/map.do?q=Circo%20Gurrrundue%20y%20Morillo%20de%20Tou" TargetMode="External"/><Relationship Id="rId60" Type="http://schemas.openxmlformats.org/officeDocument/2006/relationships/hyperlink" Target="https://es.wikiloc.com/wikiloc/map.do?q=Garmo%20Negro" TargetMode="External"/><Relationship Id="rId81" Type="http://schemas.openxmlformats.org/officeDocument/2006/relationships/hyperlink" Target="https://es.wikiloc.com/wikiloc/map.do?q=Basa%20de%20la%20Mora%2C%20Cotiella" TargetMode="External"/><Relationship Id="rId135" Type="http://schemas.openxmlformats.org/officeDocument/2006/relationships/hyperlink" Target="https://es.wikiloc.com/wikiloc/map.do?q=Barrosa%20y%20Chistau%20%28RGP%29" TargetMode="External"/><Relationship Id="rId156" Type="http://schemas.openxmlformats.org/officeDocument/2006/relationships/hyperlink" Target="https://es.wikiloc.com/wikiloc/map.do?q=Sierra%20de%20Jubera" TargetMode="External"/><Relationship Id="rId177" Type="http://schemas.openxmlformats.org/officeDocument/2006/relationships/hyperlink" Target="https://es.wikiloc.com/wikiloc/map.do?q=Hoces%20del%20Huerva" TargetMode="External"/><Relationship Id="rId19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20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8" Type="http://schemas.openxmlformats.org/officeDocument/2006/relationships/hyperlink" Target="https://es.wikiloc.com/wikiloc/map.do?q=Ordesa" TargetMode="External"/><Relationship Id="rId39" Type="http://schemas.openxmlformats.org/officeDocument/2006/relationships/hyperlink" Target="https://es.wikiloc.com/wikiloc/map.do?q=Petrechema%0ACalzada%20romana" TargetMode="External"/><Relationship Id="rId50" Type="http://schemas.openxmlformats.org/officeDocument/2006/relationships/hyperlink" Target="https://es.wikiloc.com/wikiloc/map.do?q=Lagos%20de%20Ayous%20%20%28RGP%29" TargetMode="External"/><Relationship Id="rId104" Type="http://schemas.openxmlformats.org/officeDocument/2006/relationships/hyperlink" Target="https://es.wikiloc.com/wikiloc/map.do?q=Lizara%20-%20Gabardito" TargetMode="External"/><Relationship Id="rId125" Type="http://schemas.openxmlformats.org/officeDocument/2006/relationships/hyperlink" Target="https://es.wikiloc.com/wikiloc/map.do?q=Trives%20y%20Ribera%20Sacra" TargetMode="External"/><Relationship Id="rId146" Type="http://schemas.openxmlformats.org/officeDocument/2006/relationships/hyperlink" Target="https://es.wikiloc.com/wikiloc/map.do?q=Canal%20Imperial" TargetMode="External"/><Relationship Id="rId167" Type="http://schemas.openxmlformats.org/officeDocument/2006/relationships/hyperlink" Target="https://es.wikiloc.com/wikiloc/map.do?q=Circular%20Piarc%C3%A9s%0AJubierre%20%28RGP%29" TargetMode="External"/><Relationship Id="rId188" Type="http://schemas.openxmlformats.org/officeDocument/2006/relationships/hyperlink" Target="https://es.wikiloc.com/wikiloc/map.do?q=Raquetas%20Pelop%C3%ADn" TargetMode="External"/><Relationship Id="rId71" Type="http://schemas.openxmlformats.org/officeDocument/2006/relationships/hyperlink" Target="https://es.wikiloc.com/wikiloc/map.do?q=Redolada%20Gran%20Facha" TargetMode="External"/><Relationship Id="rId92" Type="http://schemas.openxmlformats.org/officeDocument/2006/relationships/hyperlink" Target="https://es.wikiloc.com/wikiloc/map.do?q=Barranco%20Fornos%0ACastillo%20Mayor" TargetMode="External"/><Relationship Id="rId2" Type="http://schemas.openxmlformats.org/officeDocument/2006/relationships/hyperlink" Target="https://es.wikiloc.com/wikiloc/map.do?q=Castej%C3%B3n%20de%20Monegros" TargetMode="External"/><Relationship Id="rId29" Type="http://schemas.openxmlformats.org/officeDocument/2006/relationships/hyperlink" Target="https://es.wikiloc.com/wikiloc/map.do?q=Collado%20del%20Bozo%20%0AValle%20de%20los%20Sarrios-Estan%C3%A9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sheetPr filterMode="1"/>
  <dimension ref="A1:Q217"/>
  <sheetViews>
    <sheetView tabSelected="1" zoomScale="120" zoomScaleNormal="120" workbookViewId="0">
      <selection activeCell="P70" sqref="A1:P70"/>
    </sheetView>
  </sheetViews>
  <sheetFormatPr baseColWidth="10" defaultRowHeight="14.4" x14ac:dyDescent="0.3"/>
  <cols>
    <col min="1" max="1" width="11" bestFit="1" customWidth="1"/>
    <col min="2" max="2" width="17.6640625" bestFit="1" customWidth="1"/>
    <col min="3" max="3" width="8.109375" bestFit="1" customWidth="1"/>
    <col min="4" max="4" width="10.6640625" bestFit="1" customWidth="1"/>
    <col min="5" max="5" width="8.5546875" bestFit="1" customWidth="1"/>
    <col min="6" max="17" width="22.6640625" customWidth="1"/>
  </cols>
  <sheetData>
    <row r="1" spans="1:17" x14ac:dyDescent="0.3">
      <c r="A1" s="6" t="s">
        <v>76</v>
      </c>
      <c r="B1" s="1" t="s">
        <v>0</v>
      </c>
      <c r="C1" s="1" t="s">
        <v>75</v>
      </c>
      <c r="D1" s="1" t="s">
        <v>1</v>
      </c>
      <c r="E1" s="1" t="s">
        <v>2</v>
      </c>
      <c r="F1" s="1" t="s">
        <v>3</v>
      </c>
      <c r="G1" s="1" t="s">
        <v>93</v>
      </c>
      <c r="H1" s="6" t="s">
        <v>77</v>
      </c>
      <c r="I1" s="6" t="s">
        <v>78</v>
      </c>
      <c r="J1" s="1" t="s">
        <v>63</v>
      </c>
      <c r="K1" s="1" t="s">
        <v>94</v>
      </c>
      <c r="L1" s="1" t="s">
        <v>4</v>
      </c>
      <c r="M1" s="1" t="s">
        <v>5</v>
      </c>
      <c r="N1" s="2" t="s">
        <v>88</v>
      </c>
      <c r="O1" s="2" t="s">
        <v>95</v>
      </c>
      <c r="P1" s="2" t="s">
        <v>79</v>
      </c>
      <c r="Q1" s="2" t="s">
        <v>80</v>
      </c>
    </row>
    <row r="2" spans="1:17" ht="15" hidden="1" x14ac:dyDescent="0.35">
      <c r="A2" s="7" t="str">
        <f t="shared" ref="A2:A37" si="0">CONCATENATE(E2,"_",TEXT(B2,"00"),"_",TEXT(C2,"00"))</f>
        <v>2025_12_21</v>
      </c>
      <c r="B2">
        <v>12</v>
      </c>
      <c r="C2">
        <v>21</v>
      </c>
      <c r="E2">
        <v>2025</v>
      </c>
      <c r="F2" s="9" t="s">
        <v>96</v>
      </c>
      <c r="G2" t="s">
        <v>97</v>
      </c>
      <c r="H2" s="7" t="str">
        <f t="shared" ref="H2:H37" si="1">MID(J2,FIND("@",J2)+1,FIND(",",J2,FIND("@",J2))-FIND("@",J2)-1)</f>
        <v>41.3967627</v>
      </c>
      <c r="I2" s="7">
        <f t="shared" ref="I2:I37" si="2">VALUE(SUBSTITUTE(MID(J2,FIND(",",J2,FIND("@",J2))+1,FIND(",",J2,FIND(",",J2,FIND("@",J2))+1)-FIND(",",J2,FIND("@",J2))-1),".",","))</f>
        <v>-1.3329461</v>
      </c>
      <c r="J2" t="s">
        <v>98</v>
      </c>
      <c r="K2" t="s">
        <v>100</v>
      </c>
      <c r="L2" s="10" t="s">
        <v>99</v>
      </c>
      <c r="N2" s="8" t="s">
        <v>89</v>
      </c>
      <c r="O2" t="s">
        <v>81</v>
      </c>
      <c r="P2" s="11" t="s">
        <v>482</v>
      </c>
      <c r="Q2" t="s">
        <v>86</v>
      </c>
    </row>
    <row r="3" spans="1:17" hidden="1" x14ac:dyDescent="0.3">
      <c r="A3" s="7" t="str">
        <f t="shared" si="0"/>
        <v>2025_11_23</v>
      </c>
      <c r="B3">
        <v>11</v>
      </c>
      <c r="C3">
        <v>23</v>
      </c>
      <c r="D3" t="s">
        <v>57</v>
      </c>
      <c r="E3">
        <v>2025</v>
      </c>
      <c r="F3" t="s">
        <v>61</v>
      </c>
      <c r="G3" t="s">
        <v>59</v>
      </c>
      <c r="H3" s="7" t="str">
        <f t="shared" si="1"/>
        <v>42.6181914</v>
      </c>
      <c r="I3" s="7">
        <f t="shared" si="2"/>
        <v>-0.1718335</v>
      </c>
      <c r="J3" t="s">
        <v>74</v>
      </c>
      <c r="K3" t="s">
        <v>100</v>
      </c>
      <c r="L3" s="10" t="s">
        <v>62</v>
      </c>
      <c r="M3" s="3"/>
      <c r="N3" s="8" t="s">
        <v>89</v>
      </c>
      <c r="O3" t="s">
        <v>81</v>
      </c>
      <c r="P3" t="s">
        <v>101</v>
      </c>
      <c r="Q3" t="s">
        <v>83</v>
      </c>
    </row>
    <row r="4" spans="1:17" hidden="1" x14ac:dyDescent="0.3">
      <c r="A4" s="7" t="str">
        <f t="shared" si="0"/>
        <v>2025_11_22</v>
      </c>
      <c r="B4">
        <v>11</v>
      </c>
      <c r="C4">
        <v>22</v>
      </c>
      <c r="D4" t="s">
        <v>57</v>
      </c>
      <c r="E4">
        <v>2025</v>
      </c>
      <c r="F4" t="s">
        <v>58</v>
      </c>
      <c r="G4" t="s">
        <v>59</v>
      </c>
      <c r="H4" s="7" t="str">
        <f t="shared" si="1"/>
        <v>42.6181914</v>
      </c>
      <c r="I4" s="7">
        <f t="shared" si="2"/>
        <v>-0.1718335</v>
      </c>
      <c r="J4" t="s">
        <v>74</v>
      </c>
      <c r="K4" t="s">
        <v>100</v>
      </c>
      <c r="L4" s="10" t="s">
        <v>60</v>
      </c>
      <c r="M4" s="3"/>
      <c r="N4" s="8" t="s">
        <v>89</v>
      </c>
      <c r="O4" t="s">
        <v>81</v>
      </c>
      <c r="P4" s="11" t="s">
        <v>482</v>
      </c>
      <c r="Q4" t="s">
        <v>83</v>
      </c>
    </row>
    <row r="5" spans="1:17" hidden="1" x14ac:dyDescent="0.3">
      <c r="A5" s="7" t="str">
        <f t="shared" si="0"/>
        <v>2025_10_19</v>
      </c>
      <c r="B5">
        <v>10</v>
      </c>
      <c r="C5">
        <v>19</v>
      </c>
      <c r="D5" t="s">
        <v>53</v>
      </c>
      <c r="E5">
        <v>2025</v>
      </c>
      <c r="F5" t="s">
        <v>54</v>
      </c>
      <c r="G5" t="s">
        <v>55</v>
      </c>
      <c r="H5" s="7" t="str">
        <f t="shared" si="1"/>
        <v>42.4132913</v>
      </c>
      <c r="I5" s="7">
        <f t="shared" si="2"/>
        <v>-0.1197907</v>
      </c>
      <c r="J5" t="s">
        <v>73</v>
      </c>
      <c r="K5" t="s">
        <v>100</v>
      </c>
      <c r="L5" s="10" t="s">
        <v>56</v>
      </c>
      <c r="M5" s="3"/>
      <c r="N5" s="8" t="s">
        <v>89</v>
      </c>
      <c r="O5" t="s">
        <v>81</v>
      </c>
      <c r="P5" s="11" t="s">
        <v>482</v>
      </c>
      <c r="Q5" t="s">
        <v>87</v>
      </c>
    </row>
    <row r="6" spans="1:17" hidden="1" x14ac:dyDescent="0.3">
      <c r="A6" s="7" t="str">
        <f t="shared" si="0"/>
        <v>2025_10_05</v>
      </c>
      <c r="B6">
        <v>10</v>
      </c>
      <c r="C6">
        <v>5</v>
      </c>
      <c r="D6" t="s">
        <v>47</v>
      </c>
      <c r="E6">
        <v>2025</v>
      </c>
      <c r="F6" t="s">
        <v>51</v>
      </c>
      <c r="G6" t="s">
        <v>49</v>
      </c>
      <c r="H6" s="7" t="str">
        <f t="shared" si="1"/>
        <v>42.5926297</v>
      </c>
      <c r="I6" s="7">
        <f t="shared" si="2"/>
        <v>-1.3724192</v>
      </c>
      <c r="J6" t="s">
        <v>72</v>
      </c>
      <c r="K6" t="s">
        <v>100</v>
      </c>
      <c r="L6" t="s">
        <v>52</v>
      </c>
      <c r="M6" s="3"/>
      <c r="N6" s="8" t="s">
        <v>92</v>
      </c>
      <c r="O6" t="s">
        <v>81</v>
      </c>
      <c r="P6" t="s">
        <v>82</v>
      </c>
      <c r="Q6" t="s">
        <v>87</v>
      </c>
    </row>
    <row r="7" spans="1:17" hidden="1" x14ac:dyDescent="0.3">
      <c r="A7" s="7" t="str">
        <f t="shared" si="0"/>
        <v>2025_10_04</v>
      </c>
      <c r="B7">
        <v>10</v>
      </c>
      <c r="C7">
        <v>4</v>
      </c>
      <c r="D7" t="s">
        <v>47</v>
      </c>
      <c r="E7">
        <v>2025</v>
      </c>
      <c r="F7" t="s">
        <v>48</v>
      </c>
      <c r="G7" t="s">
        <v>49</v>
      </c>
      <c r="H7" s="7" t="str">
        <f t="shared" si="1"/>
        <v>42.5926297</v>
      </c>
      <c r="I7" s="7">
        <f t="shared" si="2"/>
        <v>-1.3724192</v>
      </c>
      <c r="J7" t="s">
        <v>72</v>
      </c>
      <c r="K7" t="s">
        <v>100</v>
      </c>
      <c r="L7" t="s">
        <v>50</v>
      </c>
      <c r="M7" s="3"/>
      <c r="N7" s="8" t="s">
        <v>92</v>
      </c>
      <c r="O7" t="s">
        <v>81</v>
      </c>
      <c r="P7" t="s">
        <v>82</v>
      </c>
      <c r="Q7" t="s">
        <v>83</v>
      </c>
    </row>
    <row r="8" spans="1:17" hidden="1" x14ac:dyDescent="0.3">
      <c r="A8" s="7" t="str">
        <f t="shared" si="0"/>
        <v>2025_08_31</v>
      </c>
      <c r="B8">
        <v>8</v>
      </c>
      <c r="C8">
        <v>31</v>
      </c>
      <c r="D8" t="s">
        <v>42</v>
      </c>
      <c r="E8">
        <v>2025</v>
      </c>
      <c r="F8" t="s">
        <v>45</v>
      </c>
      <c r="G8" t="s">
        <v>44</v>
      </c>
      <c r="H8" s="7" t="str">
        <f t="shared" si="1"/>
        <v>42.660696</v>
      </c>
      <c r="I8" s="7">
        <f t="shared" si="2"/>
        <v>0.37464500000000001</v>
      </c>
      <c r="J8" t="s">
        <v>71</v>
      </c>
      <c r="K8" t="s">
        <v>100</v>
      </c>
      <c r="L8" s="10" t="s">
        <v>46</v>
      </c>
      <c r="M8" s="3"/>
      <c r="N8" s="8" t="s">
        <v>89</v>
      </c>
      <c r="O8" t="s">
        <v>81</v>
      </c>
      <c r="P8" s="11" t="s">
        <v>482</v>
      </c>
      <c r="Q8" t="s">
        <v>83</v>
      </c>
    </row>
    <row r="9" spans="1:17" hidden="1" x14ac:dyDescent="0.3">
      <c r="A9" s="7" t="str">
        <f t="shared" si="0"/>
        <v>2025_08_30</v>
      </c>
      <c r="B9">
        <v>8</v>
      </c>
      <c r="C9">
        <v>30</v>
      </c>
      <c r="D9" t="s">
        <v>42</v>
      </c>
      <c r="E9">
        <v>2025</v>
      </c>
      <c r="F9" t="s">
        <v>43</v>
      </c>
      <c r="G9" t="s">
        <v>44</v>
      </c>
      <c r="H9" s="7" t="str">
        <f t="shared" si="1"/>
        <v>42.660696</v>
      </c>
      <c r="I9" s="7">
        <f t="shared" si="2"/>
        <v>0.37464500000000001</v>
      </c>
      <c r="J9" t="s">
        <v>71</v>
      </c>
      <c r="K9" t="s">
        <v>100</v>
      </c>
      <c r="L9" s="10" t="s">
        <v>102</v>
      </c>
      <c r="M9" s="3"/>
      <c r="N9" s="8" t="s">
        <v>90</v>
      </c>
      <c r="O9" t="s">
        <v>81</v>
      </c>
      <c r="P9" t="s">
        <v>101</v>
      </c>
      <c r="Q9" t="s">
        <v>83</v>
      </c>
    </row>
    <row r="10" spans="1:17" hidden="1" x14ac:dyDescent="0.3">
      <c r="A10" s="7" t="str">
        <f t="shared" si="0"/>
        <v>2025_07_20</v>
      </c>
      <c r="B10">
        <v>7</v>
      </c>
      <c r="C10">
        <v>20</v>
      </c>
      <c r="D10" t="s">
        <v>37</v>
      </c>
      <c r="E10">
        <v>2025</v>
      </c>
      <c r="F10" t="s">
        <v>39</v>
      </c>
      <c r="G10" t="s">
        <v>40</v>
      </c>
      <c r="H10" s="7" t="str">
        <f t="shared" si="1"/>
        <v>42.7427609</v>
      </c>
      <c r="I10" s="7">
        <f t="shared" si="2"/>
        <v>-0.32850639999999998</v>
      </c>
      <c r="J10" t="s">
        <v>70</v>
      </c>
      <c r="K10" t="s">
        <v>100</v>
      </c>
      <c r="L10" s="10" t="s">
        <v>41</v>
      </c>
      <c r="M10" s="3"/>
      <c r="N10" s="8" t="s">
        <v>89</v>
      </c>
      <c r="O10" t="s">
        <v>81</v>
      </c>
      <c r="P10" s="11" t="s">
        <v>482</v>
      </c>
      <c r="Q10" t="s">
        <v>83</v>
      </c>
    </row>
    <row r="11" spans="1:17" hidden="1" x14ac:dyDescent="0.3">
      <c r="A11" s="7" t="str">
        <f t="shared" si="0"/>
        <v>2025_06_25</v>
      </c>
      <c r="B11">
        <v>6</v>
      </c>
      <c r="C11">
        <v>25</v>
      </c>
      <c r="D11" t="s">
        <v>37</v>
      </c>
      <c r="E11">
        <v>2025</v>
      </c>
      <c r="F11" t="s">
        <v>38</v>
      </c>
      <c r="G11" t="s">
        <v>103</v>
      </c>
      <c r="H11" s="7" t="str">
        <f t="shared" si="1"/>
        <v>55.855405</v>
      </c>
      <c r="I11" s="7">
        <f t="shared" si="2"/>
        <v>-4.5621459</v>
      </c>
      <c r="J11" t="s">
        <v>104</v>
      </c>
      <c r="K11" t="s">
        <v>100</v>
      </c>
      <c r="L11" t="s">
        <v>100</v>
      </c>
      <c r="M11" s="3"/>
      <c r="N11" s="8" t="s">
        <v>89</v>
      </c>
      <c r="O11" t="s">
        <v>470</v>
      </c>
      <c r="P11" t="s">
        <v>100</v>
      </c>
      <c r="Q11" t="s">
        <v>538</v>
      </c>
    </row>
    <row r="12" spans="1:17" hidden="1" x14ac:dyDescent="0.3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t="s">
        <v>33</v>
      </c>
      <c r="G12" t="s">
        <v>34</v>
      </c>
      <c r="H12" s="7" t="str">
        <f t="shared" si="1"/>
        <v>41.7904033</v>
      </c>
      <c r="I12" s="7">
        <f t="shared" si="2"/>
        <v>-1.8201556999999999</v>
      </c>
      <c r="J12" t="s">
        <v>69</v>
      </c>
      <c r="K12" t="s">
        <v>100</v>
      </c>
      <c r="L12" s="3" t="s">
        <v>35</v>
      </c>
      <c r="M12" s="3"/>
      <c r="N12" s="8" t="s">
        <v>89</v>
      </c>
      <c r="O12" t="s">
        <v>81</v>
      </c>
      <c r="P12" t="s">
        <v>101</v>
      </c>
      <c r="Q12" t="s">
        <v>86</v>
      </c>
    </row>
    <row r="13" spans="1:17" hidden="1" x14ac:dyDescent="0.3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5" t="s">
        <v>28</v>
      </c>
      <c r="G13" t="s">
        <v>29</v>
      </c>
      <c r="H13" s="7" t="str">
        <f t="shared" si="1"/>
        <v>41.6174377</v>
      </c>
      <c r="I13" s="7">
        <f t="shared" si="2"/>
        <v>-0.24458679999999999</v>
      </c>
      <c r="J13" t="s">
        <v>68</v>
      </c>
      <c r="K13" t="s">
        <v>100</v>
      </c>
      <c r="L13" s="3" t="s">
        <v>30</v>
      </c>
      <c r="M13" s="3" t="s">
        <v>31</v>
      </c>
      <c r="N13" s="8" t="s">
        <v>89</v>
      </c>
      <c r="O13" t="s">
        <v>81</v>
      </c>
      <c r="P13" t="s">
        <v>82</v>
      </c>
      <c r="Q13" t="s">
        <v>86</v>
      </c>
    </row>
    <row r="14" spans="1:17" hidden="1" x14ac:dyDescent="0.3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t="s">
        <v>25</v>
      </c>
      <c r="G14" t="s">
        <v>23</v>
      </c>
      <c r="H14" s="7" t="str">
        <f t="shared" si="1"/>
        <v>40.2232186</v>
      </c>
      <c r="I14" s="7">
        <f t="shared" si="2"/>
        <v>-1.9812516</v>
      </c>
      <c r="J14" t="s">
        <v>67</v>
      </c>
      <c r="K14" t="s">
        <v>100</v>
      </c>
      <c r="L14" t="s">
        <v>26</v>
      </c>
      <c r="M14" s="3"/>
      <c r="N14" s="8" t="s">
        <v>91</v>
      </c>
      <c r="O14" t="s">
        <v>81</v>
      </c>
      <c r="P14" s="11" t="s">
        <v>482</v>
      </c>
      <c r="Q14" t="s">
        <v>85</v>
      </c>
    </row>
    <row r="15" spans="1:17" hidden="1" x14ac:dyDescent="0.3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t="s">
        <v>22</v>
      </c>
      <c r="G15" t="s">
        <v>23</v>
      </c>
      <c r="H15" s="7" t="str">
        <f t="shared" si="1"/>
        <v>40.2232186</v>
      </c>
      <c r="I15" s="7">
        <f t="shared" si="2"/>
        <v>-1.9812516</v>
      </c>
      <c r="J15" t="s">
        <v>67</v>
      </c>
      <c r="K15" t="s">
        <v>100</v>
      </c>
      <c r="L15" s="10" t="s">
        <v>24</v>
      </c>
      <c r="M15" s="3"/>
      <c r="N15" s="8" t="s">
        <v>91</v>
      </c>
      <c r="O15" t="s">
        <v>81</v>
      </c>
      <c r="P15" s="11" t="s">
        <v>482</v>
      </c>
      <c r="Q15" t="s">
        <v>85</v>
      </c>
    </row>
    <row r="16" spans="1:17" hidden="1" x14ac:dyDescent="0.3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t="s">
        <v>19</v>
      </c>
      <c r="G16" t="s">
        <v>17</v>
      </c>
      <c r="H16" s="7" t="str">
        <f t="shared" si="1"/>
        <v>40.7198717</v>
      </c>
      <c r="I16" s="7">
        <f t="shared" si="2"/>
        <v>0.69514989999999999</v>
      </c>
      <c r="J16" t="s">
        <v>66</v>
      </c>
      <c r="K16" t="s">
        <v>100</v>
      </c>
      <c r="L16" s="10" t="s">
        <v>20</v>
      </c>
      <c r="M16" s="3"/>
      <c r="N16" s="8" t="s">
        <v>90</v>
      </c>
      <c r="O16" t="s">
        <v>105</v>
      </c>
      <c r="P16" t="s">
        <v>82</v>
      </c>
      <c r="Q16" t="s">
        <v>84</v>
      </c>
    </row>
    <row r="17" spans="1:17" hidden="1" x14ac:dyDescent="0.3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t="s">
        <v>16</v>
      </c>
      <c r="G17" t="s">
        <v>17</v>
      </c>
      <c r="H17" s="7" t="str">
        <f t="shared" si="1"/>
        <v>40.7198717</v>
      </c>
      <c r="I17" s="7">
        <f t="shared" si="2"/>
        <v>0.69514989999999999</v>
      </c>
      <c r="J17" t="s">
        <v>66</v>
      </c>
      <c r="K17" t="s">
        <v>100</v>
      </c>
      <c r="L17" s="10" t="s">
        <v>18</v>
      </c>
      <c r="M17" s="3"/>
      <c r="N17" s="8" t="s">
        <v>90</v>
      </c>
      <c r="O17" t="s">
        <v>105</v>
      </c>
      <c r="P17" s="11" t="s">
        <v>482</v>
      </c>
      <c r="Q17" t="s">
        <v>84</v>
      </c>
    </row>
    <row r="18" spans="1:17" ht="15" hidden="1" x14ac:dyDescent="0.3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4" t="s">
        <v>11</v>
      </c>
      <c r="G18" t="s">
        <v>12</v>
      </c>
      <c r="H18" s="7" t="str">
        <f t="shared" si="1"/>
        <v>42.3283125</v>
      </c>
      <c r="I18" s="7">
        <f t="shared" si="2"/>
        <v>-0.41783969999999998</v>
      </c>
      <c r="J18" t="s">
        <v>64</v>
      </c>
      <c r="K18" t="s">
        <v>100</v>
      </c>
      <c r="L18" t="s">
        <v>13</v>
      </c>
      <c r="M18" s="3" t="s">
        <v>14</v>
      </c>
      <c r="N18" s="8" t="s">
        <v>89</v>
      </c>
      <c r="O18" t="s">
        <v>81</v>
      </c>
      <c r="P18" s="11" t="s">
        <v>482</v>
      </c>
      <c r="Q18" t="s">
        <v>83</v>
      </c>
    </row>
    <row r="19" spans="1:17" hidden="1" x14ac:dyDescent="0.3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t="s">
        <v>7</v>
      </c>
      <c r="G19" t="s">
        <v>8</v>
      </c>
      <c r="H19" s="7" t="str">
        <f t="shared" si="1"/>
        <v>41.9422982</v>
      </c>
      <c r="I19" s="7">
        <f t="shared" si="2"/>
        <v>-0.37294450000000001</v>
      </c>
      <c r="J19" t="s">
        <v>65</v>
      </c>
      <c r="K19" t="s">
        <v>100</v>
      </c>
      <c r="L19" t="s">
        <v>9</v>
      </c>
      <c r="M19" s="3"/>
      <c r="N19" s="8" t="s">
        <v>89</v>
      </c>
      <c r="O19" t="s">
        <v>81</v>
      </c>
      <c r="P19" t="s">
        <v>82</v>
      </c>
      <c r="Q19" t="s">
        <v>83</v>
      </c>
    </row>
    <row r="20" spans="1:17" hidden="1" x14ac:dyDescent="0.3">
      <c r="A20" s="7" t="str">
        <f t="shared" si="0"/>
        <v>2024_12_15</v>
      </c>
      <c r="B20">
        <v>12</v>
      </c>
      <c r="C20">
        <v>15</v>
      </c>
      <c r="D20" t="s">
        <v>139</v>
      </c>
      <c r="E20">
        <v>2024</v>
      </c>
      <c r="F20" t="s">
        <v>444</v>
      </c>
      <c r="G20" t="s">
        <v>450</v>
      </c>
      <c r="H20" s="7" t="str">
        <f t="shared" si="1"/>
        <v>41.5730863</v>
      </c>
      <c r="I20" s="7">
        <f t="shared" si="2"/>
        <v>-0.90241539999999998</v>
      </c>
      <c r="J20" s="10" t="s">
        <v>449</v>
      </c>
      <c r="K20" t="s">
        <v>100</v>
      </c>
      <c r="L20" t="s">
        <v>451</v>
      </c>
      <c r="M20" s="3" t="s">
        <v>445</v>
      </c>
      <c r="N20" t="s">
        <v>89</v>
      </c>
      <c r="O20" t="s">
        <v>81</v>
      </c>
      <c r="P20" t="s">
        <v>82</v>
      </c>
      <c r="Q20" t="s">
        <v>86</v>
      </c>
    </row>
    <row r="21" spans="1:17" hidden="1" x14ac:dyDescent="0.3">
      <c r="A21" s="7" t="str">
        <f t="shared" si="0"/>
        <v>2024_11_10</v>
      </c>
      <c r="B21">
        <v>11</v>
      </c>
      <c r="C21">
        <v>10</v>
      </c>
      <c r="D21" t="s">
        <v>57</v>
      </c>
      <c r="E21">
        <v>2024</v>
      </c>
      <c r="F21" t="s">
        <v>442</v>
      </c>
      <c r="G21" t="s">
        <v>454</v>
      </c>
      <c r="H21" s="7" t="str">
        <f t="shared" si="1"/>
        <v>40.6250174</v>
      </c>
      <c r="I21" s="7">
        <f t="shared" si="2"/>
        <v>-1.2172679</v>
      </c>
      <c r="J21" t="s">
        <v>455</v>
      </c>
      <c r="K21" t="s">
        <v>100</v>
      </c>
      <c r="L21" t="s">
        <v>452</v>
      </c>
      <c r="M21" s="3" t="s">
        <v>443</v>
      </c>
      <c r="N21" t="s">
        <v>89</v>
      </c>
      <c r="O21" t="s">
        <v>81</v>
      </c>
      <c r="P21" s="11" t="s">
        <v>482</v>
      </c>
      <c r="Q21" t="s">
        <v>453</v>
      </c>
    </row>
    <row r="22" spans="1:17" hidden="1" x14ac:dyDescent="0.3">
      <c r="A22" s="7" t="str">
        <f t="shared" si="0"/>
        <v>2024_10_05</v>
      </c>
      <c r="B22">
        <v>10</v>
      </c>
      <c r="C22">
        <v>5</v>
      </c>
      <c r="D22" t="s">
        <v>47</v>
      </c>
      <c r="E22">
        <v>2024</v>
      </c>
      <c r="F22" t="s">
        <v>456</v>
      </c>
      <c r="G22" t="s">
        <v>457</v>
      </c>
      <c r="H22" s="7" t="str">
        <f t="shared" si="1"/>
        <v>42.2105111</v>
      </c>
      <c r="I22" s="7">
        <f t="shared" si="2"/>
        <v>1.3256441999999999</v>
      </c>
      <c r="J22" t="s">
        <v>458</v>
      </c>
      <c r="K22" t="s">
        <v>100</v>
      </c>
      <c r="L22" s="10" t="s">
        <v>459</v>
      </c>
      <c r="M22" s="3" t="s">
        <v>441</v>
      </c>
      <c r="N22" t="s">
        <v>90</v>
      </c>
      <c r="O22" t="s">
        <v>81</v>
      </c>
      <c r="P22" s="11" t="s">
        <v>482</v>
      </c>
      <c r="Q22" t="s">
        <v>460</v>
      </c>
    </row>
    <row r="23" spans="1:17" hidden="1" x14ac:dyDescent="0.3">
      <c r="A23" s="7" t="str">
        <f t="shared" si="0"/>
        <v>2024_10_06</v>
      </c>
      <c r="B23">
        <v>10</v>
      </c>
      <c r="C23">
        <v>6</v>
      </c>
      <c r="D23" t="s">
        <v>53</v>
      </c>
      <c r="E23">
        <v>2024</v>
      </c>
      <c r="F23" t="s">
        <v>461</v>
      </c>
      <c r="G23" t="s">
        <v>457</v>
      </c>
      <c r="H23" s="7" t="str">
        <f t="shared" ref="H23" si="3">MID(J23,FIND("@",J23)+1,FIND(",",J23,FIND("@",J23))-FIND("@",J23)-1)</f>
        <v>42.2105111</v>
      </c>
      <c r="I23" s="7">
        <f t="shared" si="2"/>
        <v>1.3256441999999999</v>
      </c>
      <c r="J23" t="s">
        <v>458</v>
      </c>
      <c r="K23" t="s">
        <v>100</v>
      </c>
      <c r="L23" s="10" t="s">
        <v>462</v>
      </c>
      <c r="M23" s="3"/>
      <c r="N23" t="s">
        <v>90</v>
      </c>
      <c r="O23" t="s">
        <v>81</v>
      </c>
      <c r="P23" s="11" t="s">
        <v>482</v>
      </c>
      <c r="Q23" t="s">
        <v>460</v>
      </c>
    </row>
    <row r="24" spans="1:17" hidden="1" x14ac:dyDescent="0.3">
      <c r="A24" s="7" t="str">
        <f t="shared" si="0"/>
        <v>2024_09_07</v>
      </c>
      <c r="B24">
        <v>9</v>
      </c>
      <c r="C24">
        <v>7</v>
      </c>
      <c r="D24" t="s">
        <v>154</v>
      </c>
      <c r="E24">
        <v>2024</v>
      </c>
      <c r="F24" t="s">
        <v>463</v>
      </c>
      <c r="G24" t="s">
        <v>465</v>
      </c>
      <c r="H24" s="7" t="str">
        <f t="shared" si="1"/>
        <v>42.4086307</v>
      </c>
      <c r="I24" s="7">
        <f t="shared" si="2"/>
        <v>0.73617909999999998</v>
      </c>
      <c r="J24" t="s">
        <v>467</v>
      </c>
      <c r="K24" t="s">
        <v>100</v>
      </c>
      <c r="L24" t="s">
        <v>468</v>
      </c>
      <c r="M24" s="3" t="s">
        <v>440</v>
      </c>
      <c r="N24" t="s">
        <v>89</v>
      </c>
      <c r="O24" t="s">
        <v>81</v>
      </c>
      <c r="P24" s="11" t="s">
        <v>482</v>
      </c>
      <c r="Q24" t="s">
        <v>83</v>
      </c>
    </row>
    <row r="25" spans="1:17" x14ac:dyDescent="0.3">
      <c r="A25" s="7" t="str">
        <f t="shared" si="0"/>
        <v>2024_09_08</v>
      </c>
      <c r="B25">
        <v>9</v>
      </c>
      <c r="C25">
        <v>8</v>
      </c>
      <c r="D25" t="s">
        <v>154</v>
      </c>
      <c r="E25">
        <v>2024</v>
      </c>
      <c r="F25" t="s">
        <v>464</v>
      </c>
      <c r="G25" t="s">
        <v>466</v>
      </c>
      <c r="H25" s="7" t="str">
        <f t="shared" ref="H25" si="4">MID(J25,FIND("@",J25)+1,FIND(",",J25,FIND("@",J25))-FIND("@",J25)-1)</f>
        <v>42.5962543</v>
      </c>
      <c r="I25" s="7">
        <f t="shared" si="2"/>
        <v>0.6805426</v>
      </c>
      <c r="J25" t="s">
        <v>469</v>
      </c>
      <c r="M25" s="3"/>
      <c r="N25" t="s">
        <v>89</v>
      </c>
      <c r="O25" t="s">
        <v>81</v>
      </c>
      <c r="P25" t="s">
        <v>101</v>
      </c>
      <c r="Q25" t="s">
        <v>83</v>
      </c>
    </row>
    <row r="26" spans="1:17" hidden="1" x14ac:dyDescent="0.3">
      <c r="A26" s="7" t="str">
        <f>CONCATENATE(E26,"_",TEXT(B26,"00"),"_",TEXT(C26,"00"))</f>
        <v>2024_08_04</v>
      </c>
      <c r="B26">
        <v>8</v>
      </c>
      <c r="C26">
        <v>4</v>
      </c>
      <c r="D26" t="s">
        <v>42</v>
      </c>
      <c r="E26">
        <v>2024</v>
      </c>
      <c r="F26" t="s">
        <v>438</v>
      </c>
      <c r="G26" t="s">
        <v>472</v>
      </c>
      <c r="H26" s="7" t="str">
        <f t="shared" si="1"/>
        <v>42.7024541</v>
      </c>
      <c r="I26" s="7">
        <f t="shared" si="2"/>
        <v>-0.76221879999999997</v>
      </c>
      <c r="J26" t="s">
        <v>471</v>
      </c>
      <c r="K26" t="s">
        <v>100</v>
      </c>
      <c r="L26" t="s">
        <v>100</v>
      </c>
      <c r="M26" s="3" t="s">
        <v>439</v>
      </c>
      <c r="N26" t="s">
        <v>89</v>
      </c>
      <c r="O26" t="s">
        <v>470</v>
      </c>
      <c r="P26" t="s">
        <v>101</v>
      </c>
      <c r="Q26" t="s">
        <v>83</v>
      </c>
    </row>
    <row r="27" spans="1:17" hidden="1" x14ac:dyDescent="0.3">
      <c r="A27" s="7" t="str">
        <f t="shared" si="0"/>
        <v>2024_07_13</v>
      </c>
      <c r="B27">
        <v>7</v>
      </c>
      <c r="C27">
        <v>13</v>
      </c>
      <c r="D27" t="s">
        <v>37</v>
      </c>
      <c r="E27">
        <v>2024</v>
      </c>
      <c r="F27" t="s">
        <v>473</v>
      </c>
      <c r="G27" t="s">
        <v>474</v>
      </c>
      <c r="H27" s="7" t="str">
        <f t="shared" si="1"/>
        <v>42.6661532</v>
      </c>
      <c r="I27" s="7">
        <f t="shared" si="2"/>
        <v>0.1011666</v>
      </c>
      <c r="J27" t="s">
        <v>476</v>
      </c>
      <c r="K27" t="s">
        <v>100</v>
      </c>
      <c r="L27" s="10" t="s">
        <v>475</v>
      </c>
      <c r="M27" s="3" t="s">
        <v>435</v>
      </c>
      <c r="N27" t="s">
        <v>89</v>
      </c>
      <c r="O27" t="s">
        <v>81</v>
      </c>
      <c r="P27" s="11" t="s">
        <v>482</v>
      </c>
      <c r="Q27" t="s">
        <v>83</v>
      </c>
    </row>
    <row r="28" spans="1:17" hidden="1" x14ac:dyDescent="0.3">
      <c r="A28" s="7" t="str">
        <f t="shared" si="0"/>
        <v>2024_07_14</v>
      </c>
      <c r="B28">
        <v>7</v>
      </c>
      <c r="C28">
        <v>14</v>
      </c>
      <c r="D28" t="s">
        <v>37</v>
      </c>
      <c r="E28">
        <v>2024</v>
      </c>
      <c r="F28" t="s">
        <v>436</v>
      </c>
      <c r="G28" t="s">
        <v>474</v>
      </c>
      <c r="H28" s="7" t="str">
        <f t="shared" si="1"/>
        <v>42.6661532</v>
      </c>
      <c r="I28" s="7">
        <f t="shared" si="2"/>
        <v>0.1011666</v>
      </c>
      <c r="J28" t="s">
        <v>476</v>
      </c>
      <c r="K28" t="s">
        <v>100</v>
      </c>
      <c r="L28" s="10" t="s">
        <v>477</v>
      </c>
      <c r="M28" s="3" t="s">
        <v>437</v>
      </c>
      <c r="N28" t="s">
        <v>89</v>
      </c>
      <c r="O28" t="s">
        <v>81</v>
      </c>
      <c r="P28" t="s">
        <v>101</v>
      </c>
      <c r="Q28" t="s">
        <v>83</v>
      </c>
    </row>
    <row r="29" spans="1:17" hidden="1" x14ac:dyDescent="0.3">
      <c r="A29" s="7" t="str">
        <f t="shared" si="0"/>
        <v>2024_06_15</v>
      </c>
      <c r="B29">
        <v>6</v>
      </c>
      <c r="C29">
        <v>15</v>
      </c>
      <c r="D29" t="s">
        <v>32</v>
      </c>
      <c r="E29">
        <v>2024</v>
      </c>
      <c r="F29" t="s">
        <v>479</v>
      </c>
      <c r="G29" t="s">
        <v>480</v>
      </c>
      <c r="H29" s="7" t="str">
        <f t="shared" si="1"/>
        <v>42.8267602</v>
      </c>
      <c r="I29" s="7">
        <f t="shared" si="2"/>
        <v>0.3226832</v>
      </c>
      <c r="J29" t="s">
        <v>481</v>
      </c>
      <c r="K29" t="s">
        <v>100</v>
      </c>
      <c r="L29" s="10" t="s">
        <v>484</v>
      </c>
      <c r="M29" s="3" t="s">
        <v>434</v>
      </c>
      <c r="N29" t="s">
        <v>92</v>
      </c>
      <c r="O29" t="s">
        <v>81</v>
      </c>
      <c r="P29" t="s">
        <v>82</v>
      </c>
      <c r="Q29" t="s">
        <v>483</v>
      </c>
    </row>
    <row r="30" spans="1:17" hidden="1" x14ac:dyDescent="0.3">
      <c r="A30" s="7" t="str">
        <f t="shared" si="0"/>
        <v>2024_06_16</v>
      </c>
      <c r="B30">
        <v>6</v>
      </c>
      <c r="C30">
        <v>16</v>
      </c>
      <c r="D30" t="s">
        <v>478</v>
      </c>
      <c r="E30">
        <v>2024</v>
      </c>
      <c r="F30" t="s">
        <v>486</v>
      </c>
      <c r="G30" t="s">
        <v>480</v>
      </c>
      <c r="H30" s="7" t="str">
        <f t="shared" ref="H30" si="5">MID(J30,FIND("@",J30)+1,FIND(",",J30,FIND("@",J30))-FIND("@",J30)-1)</f>
        <v>42.8267602</v>
      </c>
      <c r="I30" s="7">
        <f t="shared" si="2"/>
        <v>0.3226832</v>
      </c>
      <c r="J30" t="s">
        <v>481</v>
      </c>
      <c r="K30" t="s">
        <v>100</v>
      </c>
      <c r="L30" s="10" t="s">
        <v>485</v>
      </c>
      <c r="M30" s="3"/>
      <c r="N30" t="s">
        <v>92</v>
      </c>
      <c r="O30" t="s">
        <v>81</v>
      </c>
      <c r="P30" s="11" t="s">
        <v>482</v>
      </c>
      <c r="Q30" t="s">
        <v>483</v>
      </c>
    </row>
    <row r="31" spans="1:17" x14ac:dyDescent="0.3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t="s">
        <v>432</v>
      </c>
      <c r="G31" t="s">
        <v>487</v>
      </c>
      <c r="H31" s="7" t="str">
        <f t="shared" si="1"/>
        <v>43.5314833</v>
      </c>
      <c r="I31" s="7">
        <f t="shared" si="2"/>
        <v>-5.7096539999999996</v>
      </c>
      <c r="J31" t="s">
        <v>490</v>
      </c>
      <c r="K31" t="s">
        <v>100</v>
      </c>
      <c r="M31" s="3" t="s">
        <v>433</v>
      </c>
      <c r="N31" t="s">
        <v>89</v>
      </c>
      <c r="O31" t="s">
        <v>488</v>
      </c>
      <c r="P31" t="s">
        <v>82</v>
      </c>
      <c r="Q31" t="s">
        <v>489</v>
      </c>
    </row>
    <row r="32" spans="1:17" x14ac:dyDescent="0.3">
      <c r="A32" s="7" t="str">
        <f t="shared" si="0"/>
        <v>2024_04_13</v>
      </c>
      <c r="B32">
        <v>4</v>
      </c>
      <c r="C32">
        <v>13</v>
      </c>
      <c r="D32" t="s">
        <v>21</v>
      </c>
      <c r="E32">
        <v>2024</v>
      </c>
      <c r="F32" s="12" t="s">
        <v>491</v>
      </c>
      <c r="G32" t="s">
        <v>492</v>
      </c>
      <c r="H32" s="7" t="str">
        <f t="shared" si="1"/>
        <v>42.8161185</v>
      </c>
      <c r="I32" s="7">
        <f t="shared" si="2"/>
        <v>-1.9029115000000001</v>
      </c>
      <c r="J32" t="s">
        <v>494</v>
      </c>
      <c r="K32" t="s">
        <v>100</v>
      </c>
      <c r="M32" s="3" t="s">
        <v>431</v>
      </c>
      <c r="N32" t="s">
        <v>89</v>
      </c>
      <c r="O32" t="s">
        <v>81</v>
      </c>
      <c r="P32" s="11" t="s">
        <v>482</v>
      </c>
      <c r="Q32" t="s">
        <v>87</v>
      </c>
    </row>
    <row r="33" spans="1:17" x14ac:dyDescent="0.3">
      <c r="A33" s="7" t="str">
        <f t="shared" si="0"/>
        <v>2024_04_14</v>
      </c>
      <c r="B33">
        <v>4</v>
      </c>
      <c r="C33">
        <v>14</v>
      </c>
      <c r="D33" t="s">
        <v>21</v>
      </c>
      <c r="E33">
        <v>2024</v>
      </c>
      <c r="F33" t="s">
        <v>493</v>
      </c>
      <c r="G33" t="s">
        <v>492</v>
      </c>
      <c r="H33" s="7" t="str">
        <f t="shared" ref="H33" si="6">MID(J33,FIND("@",J33)+1,FIND(",",J33,FIND("@",J33))-FIND("@",J33)-1)</f>
        <v>42.8161185</v>
      </c>
      <c r="I33" s="7">
        <f t="shared" si="2"/>
        <v>-1.9029115000000001</v>
      </c>
      <c r="J33" t="s">
        <v>494</v>
      </c>
      <c r="K33" t="s">
        <v>100</v>
      </c>
      <c r="M33" s="3"/>
      <c r="N33" t="s">
        <v>89</v>
      </c>
      <c r="O33" t="s">
        <v>81</v>
      </c>
      <c r="P33" s="11" t="s">
        <v>482</v>
      </c>
      <c r="Q33" t="s">
        <v>87</v>
      </c>
    </row>
    <row r="34" spans="1:17" x14ac:dyDescent="0.3">
      <c r="A34" s="7" t="str">
        <f t="shared" si="0"/>
        <v>2024_03_17</v>
      </c>
      <c r="B34">
        <v>3</v>
      </c>
      <c r="C34">
        <v>17</v>
      </c>
      <c r="D34" t="s">
        <v>15</v>
      </c>
      <c r="E34">
        <v>2024</v>
      </c>
      <c r="F34" t="s">
        <v>429</v>
      </c>
      <c r="G34" t="s">
        <v>495</v>
      </c>
      <c r="H34" s="7" t="str">
        <f t="shared" si="1"/>
        <v>41.2093632</v>
      </c>
      <c r="I34" s="7">
        <f t="shared" si="2"/>
        <v>-1.0853410999999999</v>
      </c>
      <c r="J34" t="s">
        <v>496</v>
      </c>
      <c r="K34" t="s">
        <v>100</v>
      </c>
      <c r="M34" s="3" t="s">
        <v>430</v>
      </c>
      <c r="N34" t="s">
        <v>89</v>
      </c>
      <c r="O34" t="s">
        <v>81</v>
      </c>
      <c r="P34" s="11" t="s">
        <v>482</v>
      </c>
      <c r="Q34" t="s">
        <v>86</v>
      </c>
    </row>
    <row r="35" spans="1:17" x14ac:dyDescent="0.3">
      <c r="A35" s="7" t="str">
        <f t="shared" si="0"/>
        <v>2024_02_18</v>
      </c>
      <c r="B35">
        <v>2</v>
      </c>
      <c r="C35">
        <v>18</v>
      </c>
      <c r="D35" t="s">
        <v>10</v>
      </c>
      <c r="E35">
        <v>2024</v>
      </c>
      <c r="F35" t="s">
        <v>427</v>
      </c>
      <c r="G35" t="s">
        <v>497</v>
      </c>
      <c r="H35" s="7" t="str">
        <f t="shared" si="1"/>
        <v>42.3351825</v>
      </c>
      <c r="I35" s="7">
        <f t="shared" si="2"/>
        <v>0.23817920000000001</v>
      </c>
      <c r="J35" t="s">
        <v>498</v>
      </c>
      <c r="K35" t="s">
        <v>100</v>
      </c>
      <c r="M35" s="3" t="s">
        <v>428</v>
      </c>
      <c r="N35" t="s">
        <v>89</v>
      </c>
      <c r="O35" t="s">
        <v>81</v>
      </c>
      <c r="P35" s="11" t="s">
        <v>482</v>
      </c>
      <c r="Q35" t="s">
        <v>83</v>
      </c>
    </row>
    <row r="36" spans="1:17" x14ac:dyDescent="0.3">
      <c r="A36" s="7" t="str">
        <f t="shared" si="0"/>
        <v>2024_01_21</v>
      </c>
      <c r="B36">
        <v>1</v>
      </c>
      <c r="C36">
        <v>21</v>
      </c>
      <c r="D36" t="s">
        <v>6</v>
      </c>
      <c r="E36">
        <v>2024</v>
      </c>
      <c r="F36" t="s">
        <v>425</v>
      </c>
      <c r="G36" t="s">
        <v>425</v>
      </c>
      <c r="H36" s="7" t="str">
        <f t="shared" si="1"/>
        <v>42.1753284</v>
      </c>
      <c r="I36" s="7">
        <f t="shared" si="2"/>
        <v>-0.30219489999999999</v>
      </c>
      <c r="J36" t="s">
        <v>499</v>
      </c>
      <c r="K36" t="s">
        <v>100</v>
      </c>
      <c r="M36" s="3" t="s">
        <v>426</v>
      </c>
      <c r="N36" t="s">
        <v>89</v>
      </c>
      <c r="O36" t="s">
        <v>81</v>
      </c>
      <c r="P36" t="s">
        <v>82</v>
      </c>
      <c r="Q36" t="s">
        <v>83</v>
      </c>
    </row>
    <row r="37" spans="1:17" x14ac:dyDescent="0.3">
      <c r="A37" s="7" t="str">
        <f t="shared" si="0"/>
        <v>2023_12_17</v>
      </c>
      <c r="B37">
        <v>12</v>
      </c>
      <c r="C37">
        <v>17</v>
      </c>
      <c r="D37" t="s">
        <v>139</v>
      </c>
      <c r="E37">
        <v>2023</v>
      </c>
      <c r="F37" t="s">
        <v>500</v>
      </c>
      <c r="G37" t="s">
        <v>423</v>
      </c>
      <c r="H37" s="7" t="str">
        <f t="shared" si="1"/>
        <v>42.2281996</v>
      </c>
      <c r="I37" s="7">
        <f t="shared" si="2"/>
        <v>-0.75384249999999997</v>
      </c>
      <c r="J37" t="s">
        <v>501</v>
      </c>
      <c r="K37" t="s">
        <v>100</v>
      </c>
      <c r="M37" s="3" t="s">
        <v>424</v>
      </c>
      <c r="N37" t="s">
        <v>89</v>
      </c>
      <c r="O37" t="s">
        <v>81</v>
      </c>
      <c r="P37" t="s">
        <v>82</v>
      </c>
      <c r="Q37" t="s">
        <v>83</v>
      </c>
    </row>
    <row r="38" spans="1:17" x14ac:dyDescent="0.3">
      <c r="A38" s="7" t="str">
        <f t="shared" ref="A38:A79" si="7">CONCATENATE(E38,"_",TEXT(B38,"00"),"_",TEXT(C38,"00"))</f>
        <v>2023_11_19</v>
      </c>
      <c r="B38">
        <v>11</v>
      </c>
      <c r="C38">
        <v>19</v>
      </c>
      <c r="D38" t="s">
        <v>57</v>
      </c>
      <c r="E38">
        <v>2023</v>
      </c>
      <c r="F38" t="s">
        <v>421</v>
      </c>
      <c r="G38" t="s">
        <v>504</v>
      </c>
      <c r="H38" s="7" t="str">
        <f t="shared" ref="H38:H79" si="8">MID(J38,FIND("@",J38)+1,FIND(",",J38,FIND("@",J38))-FIND("@",J38)-1)</f>
        <v>41.7165384</v>
      </c>
      <c r="I38" s="7">
        <f t="shared" ref="I38:I79" si="9">VALUE(SUBSTITUTE(MID(J38,FIND(",",J38,FIND("@",J38))+1,FIND(",",J38,FIND(",",J38,FIND("@",J38))+1)-FIND(",",J38,FIND("@",J38))-1),".",","))</f>
        <v>-1.7875676</v>
      </c>
      <c r="J38" t="s">
        <v>503</v>
      </c>
      <c r="K38" t="s">
        <v>100</v>
      </c>
      <c r="M38" s="3" t="s">
        <v>422</v>
      </c>
      <c r="N38" t="s">
        <v>89</v>
      </c>
      <c r="O38" t="s">
        <v>81</v>
      </c>
      <c r="P38" s="11" t="s">
        <v>482</v>
      </c>
      <c r="Q38" t="s">
        <v>502</v>
      </c>
    </row>
    <row r="39" spans="1:17" hidden="1" x14ac:dyDescent="0.3">
      <c r="A39" s="7" t="str">
        <f t="shared" si="7"/>
        <v>2023_10_10</v>
      </c>
      <c r="B39">
        <v>10</v>
      </c>
      <c r="C39">
        <v>10</v>
      </c>
      <c r="D39" t="s">
        <v>47</v>
      </c>
      <c r="E39">
        <v>2023</v>
      </c>
      <c r="F39" t="s">
        <v>419</v>
      </c>
      <c r="G39" t="s">
        <v>506</v>
      </c>
      <c r="H39" s="7" t="str">
        <f t="shared" si="8"/>
        <v>42.5872816</v>
      </c>
      <c r="I39" s="7">
        <f t="shared" si="9"/>
        <v>-2.1610500000000001E-2</v>
      </c>
      <c r="J39" t="s">
        <v>508</v>
      </c>
      <c r="K39" t="s">
        <v>100</v>
      </c>
      <c r="L39" t="s">
        <v>507</v>
      </c>
      <c r="M39" s="3" t="s">
        <v>420</v>
      </c>
      <c r="N39" t="s">
        <v>89</v>
      </c>
      <c r="O39" t="s">
        <v>81</v>
      </c>
      <c r="P39" t="s">
        <v>82</v>
      </c>
      <c r="Q39" t="s">
        <v>83</v>
      </c>
    </row>
    <row r="40" spans="1:17" x14ac:dyDescent="0.3">
      <c r="A40" s="7" t="str">
        <f t="shared" si="7"/>
        <v>2023_09_01</v>
      </c>
      <c r="B40">
        <v>9</v>
      </c>
      <c r="C40">
        <v>1</v>
      </c>
      <c r="D40" t="s">
        <v>154</v>
      </c>
      <c r="E40">
        <v>2023</v>
      </c>
      <c r="F40" t="s">
        <v>417</v>
      </c>
      <c r="G40" t="s">
        <v>505</v>
      </c>
      <c r="H40" s="7" t="str">
        <f t="shared" si="8"/>
        <v>41.3408123</v>
      </c>
      <c r="I40" s="7">
        <f t="shared" si="9"/>
        <v>-0.96066180000000001</v>
      </c>
      <c r="J40" t="s">
        <v>509</v>
      </c>
      <c r="K40" t="s">
        <v>100</v>
      </c>
      <c r="M40" s="3" t="s">
        <v>418</v>
      </c>
      <c r="N40" t="s">
        <v>89</v>
      </c>
      <c r="O40" t="s">
        <v>81</v>
      </c>
      <c r="P40" t="s">
        <v>82</v>
      </c>
      <c r="Q40" t="s">
        <v>86</v>
      </c>
    </row>
    <row r="41" spans="1:17" x14ac:dyDescent="0.3">
      <c r="A41" s="7" t="str">
        <f t="shared" si="7"/>
        <v>2023_07_29</v>
      </c>
      <c r="B41">
        <v>7</v>
      </c>
      <c r="C41">
        <v>29</v>
      </c>
      <c r="D41" t="s">
        <v>42</v>
      </c>
      <c r="E41">
        <v>2023</v>
      </c>
      <c r="F41" t="s">
        <v>415</v>
      </c>
      <c r="G41" t="s">
        <v>40</v>
      </c>
      <c r="H41" s="7" t="str">
        <f t="shared" si="8"/>
        <v>42.7243392</v>
      </c>
      <c r="I41" s="7">
        <f t="shared" si="9"/>
        <v>-0.28688200000000003</v>
      </c>
      <c r="J41" t="s">
        <v>514</v>
      </c>
      <c r="K41" t="s">
        <v>100</v>
      </c>
      <c r="M41" s="3" t="s">
        <v>416</v>
      </c>
      <c r="N41" t="s">
        <v>89</v>
      </c>
      <c r="O41" t="s">
        <v>470</v>
      </c>
      <c r="P41" t="s">
        <v>100</v>
      </c>
      <c r="Q41" t="s">
        <v>83</v>
      </c>
    </row>
    <row r="42" spans="1:17" x14ac:dyDescent="0.3">
      <c r="A42" s="7" t="str">
        <f t="shared" si="7"/>
        <v>2023_07_08</v>
      </c>
      <c r="B42">
        <v>7</v>
      </c>
      <c r="C42">
        <v>8</v>
      </c>
      <c r="D42" t="s">
        <v>37</v>
      </c>
      <c r="E42">
        <v>2023</v>
      </c>
      <c r="F42" t="s">
        <v>510</v>
      </c>
      <c r="G42" t="s">
        <v>511</v>
      </c>
      <c r="H42" s="7" t="str">
        <f t="shared" si="8"/>
        <v>42.6963666</v>
      </c>
      <c r="I42" s="7">
        <f t="shared" si="9"/>
        <v>-0.32869340000000002</v>
      </c>
      <c r="J42" t="s">
        <v>512</v>
      </c>
      <c r="K42" t="s">
        <v>100</v>
      </c>
      <c r="M42" s="3" t="s">
        <v>413</v>
      </c>
      <c r="N42" t="s">
        <v>89</v>
      </c>
      <c r="O42" t="s">
        <v>81</v>
      </c>
      <c r="P42" s="11" t="s">
        <v>482</v>
      </c>
      <c r="Q42" t="s">
        <v>83</v>
      </c>
    </row>
    <row r="43" spans="1:17" x14ac:dyDescent="0.3">
      <c r="A43" s="7" t="str">
        <f t="shared" si="7"/>
        <v>2023_07_09</v>
      </c>
      <c r="B43">
        <v>7</v>
      </c>
      <c r="C43">
        <v>9</v>
      </c>
      <c r="D43" t="s">
        <v>37</v>
      </c>
      <c r="E43">
        <v>2023</v>
      </c>
      <c r="F43" t="s">
        <v>513</v>
      </c>
      <c r="G43" t="s">
        <v>511</v>
      </c>
      <c r="H43" s="7" t="str">
        <f t="shared" si="8"/>
        <v>42.6963666</v>
      </c>
      <c r="I43" s="7">
        <f t="shared" si="9"/>
        <v>-0.32869340000000002</v>
      </c>
      <c r="J43" t="s">
        <v>512</v>
      </c>
      <c r="K43" t="s">
        <v>100</v>
      </c>
      <c r="M43" s="3" t="s">
        <v>414</v>
      </c>
      <c r="N43" t="s">
        <v>89</v>
      </c>
      <c r="O43" t="s">
        <v>81</v>
      </c>
      <c r="P43" s="11" t="s">
        <v>482</v>
      </c>
      <c r="Q43" t="s">
        <v>83</v>
      </c>
    </row>
    <row r="44" spans="1:17" ht="28.8" x14ac:dyDescent="0.3">
      <c r="A44" s="7" t="str">
        <f t="shared" si="7"/>
        <v>2023_06_10</v>
      </c>
      <c r="B44">
        <v>6</v>
      </c>
      <c r="C44">
        <v>10</v>
      </c>
      <c r="D44" t="s">
        <v>32</v>
      </c>
      <c r="E44">
        <v>2023</v>
      </c>
      <c r="F44" s="5" t="s">
        <v>518</v>
      </c>
      <c r="G44" t="s">
        <v>516</v>
      </c>
      <c r="H44" s="7" t="str">
        <f t="shared" si="8"/>
        <v>42.5546979</v>
      </c>
      <c r="I44" s="7">
        <f t="shared" si="9"/>
        <v>0.25507980000000002</v>
      </c>
      <c r="J44" t="s">
        <v>515</v>
      </c>
      <c r="K44" t="s">
        <v>100</v>
      </c>
      <c r="M44" s="3" t="s">
        <v>412</v>
      </c>
      <c r="N44" t="s">
        <v>89</v>
      </c>
      <c r="O44" t="s">
        <v>81</v>
      </c>
      <c r="P44" s="11" t="s">
        <v>482</v>
      </c>
      <c r="Q44" t="s">
        <v>83</v>
      </c>
    </row>
    <row r="45" spans="1:17" x14ac:dyDescent="0.3">
      <c r="A45" s="7" t="str">
        <f t="shared" si="7"/>
        <v>2023_06_11</v>
      </c>
      <c r="B45">
        <v>6</v>
      </c>
      <c r="C45">
        <v>11</v>
      </c>
      <c r="D45" t="s">
        <v>478</v>
      </c>
      <c r="E45">
        <v>2023</v>
      </c>
      <c r="F45" t="s">
        <v>517</v>
      </c>
      <c r="G45" t="s">
        <v>516</v>
      </c>
      <c r="H45" s="7" t="str">
        <f t="shared" ref="H45" si="10">MID(J45,FIND("@",J45)+1,FIND(",",J45,FIND("@",J45))-FIND("@",J45)-1)</f>
        <v>42.5546979</v>
      </c>
      <c r="I45" s="7">
        <f t="shared" ref="I45" si="11">VALUE(SUBSTITUTE(MID(J45,FIND(",",J45,FIND("@",J45))+1,FIND(",",J45,FIND(",",J45,FIND("@",J45))+1)-FIND(",",J45,FIND("@",J45))-1),".",","))</f>
        <v>0.25507980000000002</v>
      </c>
      <c r="J45" t="s">
        <v>515</v>
      </c>
      <c r="K45" t="s">
        <v>100</v>
      </c>
      <c r="M45" s="3"/>
      <c r="N45" t="s">
        <v>89</v>
      </c>
      <c r="O45" t="s">
        <v>81</v>
      </c>
      <c r="P45" s="11" t="s">
        <v>482</v>
      </c>
      <c r="Q45" t="s">
        <v>83</v>
      </c>
    </row>
    <row r="46" spans="1:17" x14ac:dyDescent="0.3">
      <c r="A46" s="7" t="str">
        <f t="shared" si="7"/>
        <v>2023_05_27</v>
      </c>
      <c r="B46">
        <v>5</v>
      </c>
      <c r="C46">
        <v>27</v>
      </c>
      <c r="D46" t="s">
        <v>27</v>
      </c>
      <c r="E46">
        <v>2023</v>
      </c>
      <c r="F46" t="s">
        <v>410</v>
      </c>
      <c r="G46" t="s">
        <v>521</v>
      </c>
      <c r="H46" s="7" t="str">
        <f t="shared" si="8"/>
        <v>42.1262349</v>
      </c>
      <c r="I46" s="7">
        <f t="shared" si="9"/>
        <v>-0.288962</v>
      </c>
      <c r="J46" t="s">
        <v>523</v>
      </c>
      <c r="K46" t="s">
        <v>100</v>
      </c>
      <c r="M46" s="3" t="s">
        <v>411</v>
      </c>
      <c r="N46" t="s">
        <v>92</v>
      </c>
      <c r="O46" t="s">
        <v>81</v>
      </c>
      <c r="P46" s="11" t="s">
        <v>482</v>
      </c>
      <c r="Q46" t="s">
        <v>83</v>
      </c>
    </row>
    <row r="47" spans="1:17" x14ac:dyDescent="0.3">
      <c r="A47" s="7" t="str">
        <f t="shared" si="7"/>
        <v>2023_05_28</v>
      </c>
      <c r="B47">
        <v>5</v>
      </c>
      <c r="C47">
        <v>28</v>
      </c>
      <c r="D47" t="s">
        <v>519</v>
      </c>
      <c r="E47">
        <v>2023</v>
      </c>
      <c r="F47" t="s">
        <v>520</v>
      </c>
      <c r="G47" t="s">
        <v>522</v>
      </c>
      <c r="H47" s="7" t="str">
        <f t="shared" ref="H47" si="12">MID(J47,FIND("@",J47)+1,FIND(",",J47,FIND("@",J47))-FIND("@",J47)-1)</f>
        <v>42.1262349</v>
      </c>
      <c r="I47" s="7">
        <f t="shared" ref="I47" si="13">VALUE(SUBSTITUTE(MID(J47,FIND(",",J47,FIND("@",J47))+1,FIND(",",J47,FIND(",",J47,FIND("@",J47))+1)-FIND(",",J47,FIND("@",J47))-1),".",","))</f>
        <v>-0.288962</v>
      </c>
      <c r="J47" t="s">
        <v>523</v>
      </c>
      <c r="K47" t="s">
        <v>100</v>
      </c>
      <c r="M47" s="3"/>
      <c r="N47" t="s">
        <v>92</v>
      </c>
      <c r="O47" t="s">
        <v>81</v>
      </c>
      <c r="P47" s="11" t="s">
        <v>482</v>
      </c>
      <c r="Q47" t="s">
        <v>83</v>
      </c>
    </row>
    <row r="48" spans="1:17" x14ac:dyDescent="0.3">
      <c r="A48" s="7" t="str">
        <f t="shared" si="7"/>
        <v>2023_04_29</v>
      </c>
      <c r="B48">
        <v>4</v>
      </c>
      <c r="C48">
        <v>29</v>
      </c>
      <c r="D48" t="s">
        <v>21</v>
      </c>
      <c r="E48">
        <v>2023</v>
      </c>
      <c r="F48" t="s">
        <v>524</v>
      </c>
      <c r="G48" t="s">
        <v>526</v>
      </c>
      <c r="H48" s="7" t="str">
        <f t="shared" si="8"/>
        <v>40.9901505</v>
      </c>
      <c r="I48" s="7">
        <f t="shared" si="9"/>
        <v>0.91357820000000001</v>
      </c>
      <c r="J48" t="s">
        <v>527</v>
      </c>
      <c r="K48" t="s">
        <v>100</v>
      </c>
      <c r="M48" s="3" t="s">
        <v>409</v>
      </c>
      <c r="N48" t="s">
        <v>89</v>
      </c>
      <c r="O48" t="s">
        <v>81</v>
      </c>
      <c r="P48" t="s">
        <v>82</v>
      </c>
      <c r="Q48" t="s">
        <v>84</v>
      </c>
    </row>
    <row r="49" spans="1:17" x14ac:dyDescent="0.3">
      <c r="A49" s="7" t="str">
        <f t="shared" si="7"/>
        <v>2023_04_30</v>
      </c>
      <c r="B49">
        <v>4</v>
      </c>
      <c r="C49">
        <v>30</v>
      </c>
      <c r="D49" t="s">
        <v>21</v>
      </c>
      <c r="E49">
        <v>2023</v>
      </c>
      <c r="F49" t="s">
        <v>525</v>
      </c>
      <c r="G49" t="s">
        <v>526</v>
      </c>
      <c r="H49" s="7" t="str">
        <f t="shared" ref="H49" si="14">MID(J49,FIND("@",J49)+1,FIND(",",J49,FIND("@",J49))-FIND("@",J49)-1)</f>
        <v>40.9901505</v>
      </c>
      <c r="I49" s="7">
        <f t="shared" ref="I49" si="15">VALUE(SUBSTITUTE(MID(J49,FIND(",",J49,FIND("@",J49))+1,FIND(",",J49,FIND(",",J49,FIND("@",J49))+1)-FIND(",",J49,FIND("@",J49))-1),".",","))</f>
        <v>0.91357820000000001</v>
      </c>
      <c r="J49" t="s">
        <v>527</v>
      </c>
      <c r="K49" t="s">
        <v>100</v>
      </c>
      <c r="M49" s="3"/>
      <c r="N49" t="s">
        <v>89</v>
      </c>
      <c r="O49" t="s">
        <v>81</v>
      </c>
      <c r="P49" s="11" t="s">
        <v>482</v>
      </c>
      <c r="Q49" t="s">
        <v>84</v>
      </c>
    </row>
    <row r="50" spans="1:17" hidden="1" x14ac:dyDescent="0.3">
      <c r="A50" s="7" t="str">
        <f t="shared" si="7"/>
        <v>2023_03_11</v>
      </c>
      <c r="B50">
        <v>3</v>
      </c>
      <c r="C50">
        <v>11</v>
      </c>
      <c r="D50" t="s">
        <v>15</v>
      </c>
      <c r="E50">
        <v>2023</v>
      </c>
      <c r="F50" t="s">
        <v>535</v>
      </c>
      <c r="G50" t="s">
        <v>531</v>
      </c>
      <c r="H50" s="7" t="str">
        <f t="shared" si="8"/>
        <v>42.6699037</v>
      </c>
      <c r="I50" s="7">
        <f t="shared" si="9"/>
        <v>-2.356951</v>
      </c>
      <c r="J50" t="s">
        <v>532</v>
      </c>
      <c r="K50" t="s">
        <v>100</v>
      </c>
      <c r="L50" s="10" t="s">
        <v>529</v>
      </c>
      <c r="M50" s="3" t="s">
        <v>408</v>
      </c>
      <c r="N50" t="s">
        <v>89</v>
      </c>
      <c r="O50" t="s">
        <v>81</v>
      </c>
      <c r="P50" s="11" t="s">
        <v>482</v>
      </c>
      <c r="Q50" t="s">
        <v>533</v>
      </c>
    </row>
    <row r="51" spans="1:17" hidden="1" x14ac:dyDescent="0.3">
      <c r="A51" s="7" t="str">
        <f t="shared" si="7"/>
        <v>2023_03_12</v>
      </c>
      <c r="B51">
        <v>3</v>
      </c>
      <c r="C51">
        <v>12</v>
      </c>
      <c r="D51" t="s">
        <v>528</v>
      </c>
      <c r="E51">
        <v>2023</v>
      </c>
      <c r="F51" t="s">
        <v>534</v>
      </c>
      <c r="G51" t="s">
        <v>531</v>
      </c>
      <c r="H51" s="7" t="str">
        <f t="shared" ref="H51" si="16">MID(J51,FIND("@",J51)+1,FIND(",",J51,FIND("@",J51))-FIND("@",J51)-1)</f>
        <v>42.6699037</v>
      </c>
      <c r="I51" s="7">
        <f t="shared" ref="I51" si="17">VALUE(SUBSTITUTE(MID(J51,FIND(",",J51,FIND("@",J51))+1,FIND(",",J51,FIND(",",J51,FIND("@",J51))+1)-FIND(",",J51,FIND("@",J51))-1),".",","))</f>
        <v>-2.356951</v>
      </c>
      <c r="J51" t="s">
        <v>532</v>
      </c>
      <c r="K51" t="s">
        <v>100</v>
      </c>
      <c r="L51" s="10" t="s">
        <v>530</v>
      </c>
      <c r="M51" s="3"/>
      <c r="N51" t="s">
        <v>89</v>
      </c>
      <c r="O51" t="s">
        <v>81</v>
      </c>
      <c r="P51" s="11" t="s">
        <v>482</v>
      </c>
      <c r="Q51" t="s">
        <v>533</v>
      </c>
    </row>
    <row r="52" spans="1:17" x14ac:dyDescent="0.3">
      <c r="A52" s="7" t="str">
        <f t="shared" si="7"/>
        <v>2023_02_12</v>
      </c>
      <c r="B52">
        <v>2</v>
      </c>
      <c r="C52">
        <v>12</v>
      </c>
      <c r="D52" t="s">
        <v>10</v>
      </c>
      <c r="E52">
        <v>2023</v>
      </c>
      <c r="F52" t="s">
        <v>537</v>
      </c>
      <c r="G52" t="s">
        <v>347</v>
      </c>
      <c r="H52" s="7" t="str">
        <f t="shared" si="8"/>
        <v>40.6478491</v>
      </c>
      <c r="I52" s="7">
        <f t="shared" si="9"/>
        <v>-0.53164290000000003</v>
      </c>
      <c r="J52" t="s">
        <v>536</v>
      </c>
      <c r="K52" t="s">
        <v>100</v>
      </c>
      <c r="M52" s="3" t="s">
        <v>407</v>
      </c>
      <c r="N52" t="s">
        <v>89</v>
      </c>
      <c r="O52" t="s">
        <v>81</v>
      </c>
      <c r="P52" t="s">
        <v>482</v>
      </c>
      <c r="Q52" t="s">
        <v>453</v>
      </c>
    </row>
    <row r="53" spans="1:17" x14ac:dyDescent="0.3">
      <c r="A53" s="7" t="str">
        <f t="shared" si="7"/>
        <v>2022_12_18</v>
      </c>
      <c r="B53">
        <v>12</v>
      </c>
      <c r="C53">
        <v>18</v>
      </c>
      <c r="D53" t="s">
        <v>139</v>
      </c>
      <c r="E53">
        <v>2022</v>
      </c>
      <c r="F53" t="s">
        <v>405</v>
      </c>
      <c r="G53" t="s">
        <v>540</v>
      </c>
      <c r="H53" s="7" t="str">
        <f t="shared" ref="H53" si="18">MID(J53,FIND("@",J53)+1,FIND(",",J53,FIND("@",J53))-FIND("@",J53)-1)</f>
        <v>42.1322309</v>
      </c>
      <c r="I53" s="7">
        <f t="shared" ref="I53" si="19">VALUE(SUBSTITUTE(MID(J53,FIND(",",J53,FIND("@",J53))+1,FIND(",",J53,FIND(",",J53,FIND("@",J53))+1)-FIND(",",J53,FIND("@",J53))-1),".",","))</f>
        <v>-1.312028</v>
      </c>
      <c r="J53" t="s">
        <v>539</v>
      </c>
      <c r="K53" t="s">
        <v>100</v>
      </c>
      <c r="M53" s="3" t="s">
        <v>406</v>
      </c>
      <c r="N53" t="s">
        <v>89</v>
      </c>
      <c r="O53" t="s">
        <v>81</v>
      </c>
      <c r="P53" t="s">
        <v>82</v>
      </c>
      <c r="Q53" t="s">
        <v>86</v>
      </c>
    </row>
    <row r="54" spans="1:17" hidden="1" x14ac:dyDescent="0.3">
      <c r="A54" s="7" t="str">
        <f t="shared" si="7"/>
        <v>2022_11_20</v>
      </c>
      <c r="B54">
        <v>11</v>
      </c>
      <c r="C54">
        <v>20</v>
      </c>
      <c r="D54" t="s">
        <v>57</v>
      </c>
      <c r="E54">
        <v>2022</v>
      </c>
      <c r="F54" t="s">
        <v>403</v>
      </c>
      <c r="G54" t="s">
        <v>542</v>
      </c>
      <c r="H54" s="7" t="str">
        <f t="shared" si="8"/>
        <v>42.2824179</v>
      </c>
      <c r="I54" s="7">
        <f t="shared" si="9"/>
        <v>-7.98846E-2</v>
      </c>
      <c r="J54" t="s">
        <v>543</v>
      </c>
      <c r="K54" t="s">
        <v>100</v>
      </c>
      <c r="L54" s="10" t="s">
        <v>541</v>
      </c>
      <c r="M54" s="3" t="s">
        <v>404</v>
      </c>
      <c r="N54" t="s">
        <v>89</v>
      </c>
      <c r="O54" t="s">
        <v>81</v>
      </c>
      <c r="P54" t="s">
        <v>482</v>
      </c>
      <c r="Q54" t="s">
        <v>83</v>
      </c>
    </row>
    <row r="55" spans="1:17" x14ac:dyDescent="0.3">
      <c r="A55" s="7" t="str">
        <f t="shared" si="7"/>
        <v>2022_10_22</v>
      </c>
      <c r="B55">
        <v>10</v>
      </c>
      <c r="C55">
        <v>22</v>
      </c>
      <c r="D55" t="s">
        <v>47</v>
      </c>
      <c r="E55">
        <v>2022</v>
      </c>
      <c r="F55" t="s">
        <v>401</v>
      </c>
      <c r="G55" t="s">
        <v>545</v>
      </c>
      <c r="H55" s="7" t="str">
        <f t="shared" si="8"/>
        <v>41.8854176</v>
      </c>
      <c r="I55" s="7">
        <f t="shared" si="9"/>
        <v>-2.7880938999999998</v>
      </c>
      <c r="J55" s="10" t="s">
        <v>544</v>
      </c>
      <c r="K55" t="s">
        <v>100</v>
      </c>
      <c r="M55" s="3" t="s">
        <v>402</v>
      </c>
      <c r="N55" t="s">
        <v>89</v>
      </c>
      <c r="O55" t="s">
        <v>81</v>
      </c>
      <c r="P55" t="s">
        <v>82</v>
      </c>
      <c r="Q55" t="s">
        <v>502</v>
      </c>
    </row>
    <row r="56" spans="1:17" x14ac:dyDescent="0.3">
      <c r="A56" s="7" t="str">
        <f t="shared" si="7"/>
        <v>2022_10_23</v>
      </c>
      <c r="B56">
        <v>10</v>
      </c>
      <c r="C56">
        <v>23</v>
      </c>
      <c r="D56" t="s">
        <v>47</v>
      </c>
      <c r="E56">
        <v>2022</v>
      </c>
      <c r="F56" t="s">
        <v>401</v>
      </c>
      <c r="G56" t="s">
        <v>545</v>
      </c>
      <c r="H56" s="7" t="str">
        <f t="shared" ref="H56" si="20">MID(J56,FIND("@",J56)+1,FIND(",",J56,FIND("@",J56))-FIND("@",J56)-1)</f>
        <v>41.8854176</v>
      </c>
      <c r="I56" s="7">
        <f t="shared" ref="I56" si="21">VALUE(SUBSTITUTE(MID(J56,FIND(",",J56,FIND("@",J56))+1,FIND(",",J56,FIND(",",J56,FIND("@",J56))+1)-FIND(",",J56,FIND("@",J56))-1),".",","))</f>
        <v>-2.7880938999999998</v>
      </c>
      <c r="J56" s="10" t="s">
        <v>544</v>
      </c>
      <c r="K56" t="s">
        <v>100</v>
      </c>
      <c r="M56" s="3"/>
      <c r="N56" t="s">
        <v>89</v>
      </c>
      <c r="O56" t="s">
        <v>81</v>
      </c>
      <c r="P56" t="s">
        <v>82</v>
      </c>
      <c r="Q56" t="s">
        <v>502</v>
      </c>
    </row>
    <row r="57" spans="1:17" x14ac:dyDescent="0.3">
      <c r="A57" s="7" t="str">
        <f t="shared" si="7"/>
        <v>2022_09_03</v>
      </c>
      <c r="B57">
        <v>9</v>
      </c>
      <c r="C57">
        <v>3</v>
      </c>
      <c r="D57" t="s">
        <v>154</v>
      </c>
      <c r="E57">
        <v>2022</v>
      </c>
      <c r="F57" t="s">
        <v>399</v>
      </c>
      <c r="G57" t="s">
        <v>546</v>
      </c>
      <c r="H57" s="7" t="str">
        <f t="shared" si="8"/>
        <v>42.8659717</v>
      </c>
      <c r="I57" s="7">
        <f t="shared" si="9"/>
        <v>-0.45867639999999998</v>
      </c>
      <c r="J57" t="s">
        <v>547</v>
      </c>
      <c r="K57" t="s">
        <v>100</v>
      </c>
      <c r="M57" s="3" t="s">
        <v>400</v>
      </c>
      <c r="N57" t="s">
        <v>89</v>
      </c>
      <c r="O57" t="s">
        <v>470</v>
      </c>
      <c r="P57" t="s">
        <v>482</v>
      </c>
      <c r="Q57" t="s">
        <v>483</v>
      </c>
    </row>
    <row r="58" spans="1:17" x14ac:dyDescent="0.3">
      <c r="A58" s="7" t="str">
        <f t="shared" si="7"/>
        <v>2022_09_04</v>
      </c>
      <c r="B58">
        <v>9</v>
      </c>
      <c r="C58">
        <v>4</v>
      </c>
      <c r="D58" t="s">
        <v>154</v>
      </c>
      <c r="E58">
        <v>2022</v>
      </c>
      <c r="F58" t="s">
        <v>399</v>
      </c>
      <c r="G58" t="s">
        <v>549</v>
      </c>
      <c r="H58" s="7" t="str">
        <f t="shared" ref="H58" si="22">MID(J58,FIND("@",J58)+1,FIND(",",J58,FIND("@",J58))-FIND("@",J58)-1)</f>
        <v>42.8355432</v>
      </c>
      <c r="I58" s="7">
        <f t="shared" ref="I58" si="23">VALUE(SUBSTITUTE(MID(J58,FIND(",",J58,FIND("@",J58))+1,FIND(",",J58,FIND(",",J58,FIND("@",J58))+1)-FIND(",",J58,FIND("@",J58))-1),".",","))</f>
        <v>-0.42948589999999998</v>
      </c>
      <c r="J58" t="s">
        <v>548</v>
      </c>
      <c r="K58" t="s">
        <v>100</v>
      </c>
      <c r="M58" s="3"/>
      <c r="N58" t="s">
        <v>89</v>
      </c>
      <c r="O58" t="s">
        <v>470</v>
      </c>
      <c r="P58" t="s">
        <v>482</v>
      </c>
      <c r="Q58" t="s">
        <v>483</v>
      </c>
    </row>
    <row r="59" spans="1:17" x14ac:dyDescent="0.3">
      <c r="A59" s="7" t="str">
        <f t="shared" si="7"/>
        <v>2022_08_01</v>
      </c>
      <c r="B59">
        <v>8</v>
      </c>
      <c r="C59">
        <v>1</v>
      </c>
      <c r="D59" t="s">
        <v>42</v>
      </c>
      <c r="E59">
        <v>2022</v>
      </c>
      <c r="F59" t="s">
        <v>397</v>
      </c>
      <c r="G59" t="s">
        <v>44</v>
      </c>
      <c r="H59" s="7" t="str">
        <f t="shared" si="8"/>
        <v>42.660696</v>
      </c>
      <c r="I59" s="7">
        <f t="shared" si="9"/>
        <v>0.37464500000000001</v>
      </c>
      <c r="J59" t="s">
        <v>550</v>
      </c>
      <c r="K59" t="s">
        <v>100</v>
      </c>
      <c r="M59" s="3" t="s">
        <v>398</v>
      </c>
      <c r="N59" t="s">
        <v>89</v>
      </c>
      <c r="O59" t="s">
        <v>81</v>
      </c>
      <c r="P59" t="s">
        <v>101</v>
      </c>
      <c r="Q59" t="s">
        <v>83</v>
      </c>
    </row>
    <row r="60" spans="1:17" ht="28.8" x14ac:dyDescent="0.3">
      <c r="A60" s="7" t="str">
        <f t="shared" si="7"/>
        <v>2022_07_09</v>
      </c>
      <c r="B60">
        <v>7</v>
      </c>
      <c r="C60">
        <v>9</v>
      </c>
      <c r="D60" t="s">
        <v>37</v>
      </c>
      <c r="E60">
        <v>2022</v>
      </c>
      <c r="F60" s="5" t="s">
        <v>551</v>
      </c>
      <c r="G60" t="s">
        <v>554</v>
      </c>
      <c r="H60" s="7" t="str">
        <f t="shared" si="8"/>
        <v>42.6772647</v>
      </c>
      <c r="I60" s="7">
        <f t="shared" si="9"/>
        <v>-0.12642809999999999</v>
      </c>
      <c r="J60" t="s">
        <v>553</v>
      </c>
      <c r="K60" t="s">
        <v>100</v>
      </c>
      <c r="M60" s="3" t="s">
        <v>396</v>
      </c>
      <c r="N60" t="s">
        <v>89</v>
      </c>
      <c r="O60" t="s">
        <v>81</v>
      </c>
      <c r="P60" t="s">
        <v>482</v>
      </c>
      <c r="Q60" t="s">
        <v>83</v>
      </c>
    </row>
    <row r="61" spans="1:17" x14ac:dyDescent="0.3">
      <c r="A61" s="7" t="str">
        <f t="shared" si="7"/>
        <v>2022_07_10</v>
      </c>
      <c r="B61">
        <v>7</v>
      </c>
      <c r="C61">
        <v>10</v>
      </c>
      <c r="D61" t="s">
        <v>37</v>
      </c>
      <c r="E61">
        <v>2022</v>
      </c>
      <c r="F61" t="s">
        <v>552</v>
      </c>
      <c r="G61" t="s">
        <v>554</v>
      </c>
      <c r="H61" s="7" t="str">
        <f t="shared" ref="H61" si="24">MID(J61,FIND("@",J61)+1,FIND(",",J61,FIND("@",J61))-FIND("@",J61)-1)</f>
        <v>42.6772647</v>
      </c>
      <c r="I61" s="7">
        <f t="shared" ref="I61" si="25">VALUE(SUBSTITUTE(MID(J61,FIND(",",J61,FIND("@",J61))+1,FIND(",",J61,FIND(",",J61,FIND("@",J61))+1)-FIND(",",J61,FIND("@",J61))-1),".",","))</f>
        <v>-0.12642809999999999</v>
      </c>
      <c r="J61" t="s">
        <v>553</v>
      </c>
      <c r="K61" t="s">
        <v>100</v>
      </c>
      <c r="M61" s="3"/>
      <c r="N61" t="s">
        <v>89</v>
      </c>
      <c r="O61" t="s">
        <v>81</v>
      </c>
      <c r="P61" t="s">
        <v>482</v>
      </c>
      <c r="Q61" t="s">
        <v>83</v>
      </c>
    </row>
    <row r="62" spans="1:17" ht="28.8" x14ac:dyDescent="0.3">
      <c r="A62" s="7" t="str">
        <f t="shared" si="7"/>
        <v>2022_06_11</v>
      </c>
      <c r="B62">
        <v>6</v>
      </c>
      <c r="C62">
        <v>11</v>
      </c>
      <c r="D62" t="s">
        <v>32</v>
      </c>
      <c r="E62">
        <v>2022</v>
      </c>
      <c r="F62" s="5" t="s">
        <v>555</v>
      </c>
      <c r="G62" t="s">
        <v>557</v>
      </c>
      <c r="H62" s="7" t="str">
        <f t="shared" si="8"/>
        <v>42.4243928</v>
      </c>
      <c r="I62" s="7">
        <f t="shared" si="9"/>
        <v>0.64602139999999997</v>
      </c>
      <c r="J62" t="s">
        <v>558</v>
      </c>
      <c r="K62" t="s">
        <v>100</v>
      </c>
      <c r="M62" s="3" t="s">
        <v>395</v>
      </c>
      <c r="N62" t="s">
        <v>89</v>
      </c>
      <c r="O62" t="s">
        <v>81</v>
      </c>
      <c r="P62" t="s">
        <v>82</v>
      </c>
      <c r="Q62" t="s">
        <v>83</v>
      </c>
    </row>
    <row r="63" spans="1:17" x14ac:dyDescent="0.3">
      <c r="A63" s="7" t="str">
        <f t="shared" si="7"/>
        <v>2022_06_12</v>
      </c>
      <c r="B63">
        <v>6</v>
      </c>
      <c r="C63">
        <v>12</v>
      </c>
      <c r="D63" t="s">
        <v>32</v>
      </c>
      <c r="E63">
        <v>2022</v>
      </c>
      <c r="F63" t="s">
        <v>556</v>
      </c>
      <c r="G63" t="s">
        <v>559</v>
      </c>
      <c r="H63" s="7" t="str">
        <f t="shared" ref="H63" si="26">MID(J63,FIND("@",J63)+1,FIND(",",J63,FIND("@",J63))-FIND("@",J63)-1)</f>
        <v>42.2909468</v>
      </c>
      <c r="I63" s="7">
        <f t="shared" ref="I63" si="27">VALUE(SUBSTITUTE(MID(J63,FIND(",",J63,FIND("@",J63))+1,FIND(",",J63,FIND(",",J63,FIND("@",J63))+1)-FIND(",",J63,FIND("@",J63))-1),".",","))</f>
        <v>0.52750109999999995</v>
      </c>
      <c r="J63" t="s">
        <v>560</v>
      </c>
      <c r="K63" t="s">
        <v>100</v>
      </c>
      <c r="M63" s="3"/>
      <c r="N63" t="s">
        <v>89</v>
      </c>
      <c r="O63" t="s">
        <v>81</v>
      </c>
      <c r="P63" t="s">
        <v>482</v>
      </c>
      <c r="Q63" t="s">
        <v>83</v>
      </c>
    </row>
    <row r="64" spans="1:17" x14ac:dyDescent="0.3">
      <c r="A64" s="7" t="str">
        <f t="shared" si="7"/>
        <v>2022_05_22</v>
      </c>
      <c r="B64">
        <v>5</v>
      </c>
      <c r="C64">
        <v>22</v>
      </c>
      <c r="D64" t="s">
        <v>27</v>
      </c>
      <c r="E64">
        <v>2022</v>
      </c>
      <c r="F64" t="s">
        <v>393</v>
      </c>
      <c r="G64" t="s">
        <v>562</v>
      </c>
      <c r="H64" s="7" t="str">
        <f t="shared" si="8"/>
        <v>42.5473753</v>
      </c>
      <c r="I64" s="7">
        <f t="shared" si="9"/>
        <v>0.13082460000000001</v>
      </c>
      <c r="J64" t="s">
        <v>563</v>
      </c>
      <c r="K64" t="s">
        <v>100</v>
      </c>
      <c r="M64" s="3" t="s">
        <v>394</v>
      </c>
      <c r="N64" t="s">
        <v>89</v>
      </c>
      <c r="O64" t="s">
        <v>81</v>
      </c>
      <c r="P64" t="s">
        <v>482</v>
      </c>
      <c r="Q64" t="s">
        <v>83</v>
      </c>
    </row>
    <row r="65" spans="1:17" x14ac:dyDescent="0.3">
      <c r="A65" s="7" t="str">
        <f t="shared" si="7"/>
        <v>2022_05_21</v>
      </c>
      <c r="B65">
        <v>5</v>
      </c>
      <c r="C65">
        <v>21</v>
      </c>
      <c r="D65" t="s">
        <v>519</v>
      </c>
      <c r="E65">
        <v>2022</v>
      </c>
      <c r="F65" t="s">
        <v>561</v>
      </c>
      <c r="G65" t="s">
        <v>86</v>
      </c>
      <c r="H65" s="7" t="str">
        <f t="shared" ref="H65" si="28">MID(J65,FIND("@",J65)+1,FIND(",",J65,FIND("@",J65))-FIND("@",J65)-1)</f>
        <v>41.651748</v>
      </c>
      <c r="I65" s="7">
        <f t="shared" ref="I65" si="29">VALUE(SUBSTITUTE(MID(J65,FIND(",",J65,FIND("@",J65))+1,FIND(",",J65,FIND(",",J65,FIND("@",J65))+1)-FIND(",",J65,FIND("@",J65))-1),".",","))</f>
        <v>-0.93618040000000002</v>
      </c>
      <c r="J65" t="s">
        <v>565</v>
      </c>
      <c r="K65" t="s">
        <v>100</v>
      </c>
      <c r="M65" s="3"/>
      <c r="N65" t="s">
        <v>89</v>
      </c>
      <c r="O65" t="s">
        <v>564</v>
      </c>
      <c r="P65" t="s">
        <v>82</v>
      </c>
      <c r="Q65" t="s">
        <v>86</v>
      </c>
    </row>
    <row r="66" spans="1:17" x14ac:dyDescent="0.3">
      <c r="A66" s="7" t="str">
        <f t="shared" si="7"/>
        <v>2022_04_24</v>
      </c>
      <c r="B66">
        <v>4</v>
      </c>
      <c r="C66">
        <v>24</v>
      </c>
      <c r="D66" t="s">
        <v>21</v>
      </c>
      <c r="E66">
        <v>2022</v>
      </c>
      <c r="F66" t="s">
        <v>391</v>
      </c>
      <c r="G66" t="s">
        <v>567</v>
      </c>
      <c r="H66" s="7" t="str">
        <f t="shared" si="8"/>
        <v>42.312874</v>
      </c>
      <c r="I66" s="7">
        <f t="shared" si="9"/>
        <v>-2.3068730999999998</v>
      </c>
      <c r="J66" t="s">
        <v>566</v>
      </c>
      <c r="K66" t="s">
        <v>100</v>
      </c>
      <c r="M66" s="3" t="s">
        <v>392</v>
      </c>
      <c r="N66" t="s">
        <v>89</v>
      </c>
      <c r="O66" t="s">
        <v>81</v>
      </c>
      <c r="P66" t="s">
        <v>82</v>
      </c>
      <c r="Q66" t="s">
        <v>568</v>
      </c>
    </row>
    <row r="67" spans="1:17" x14ac:dyDescent="0.3">
      <c r="A67" s="7" t="str">
        <f t="shared" si="7"/>
        <v>2022_04_23</v>
      </c>
      <c r="B67">
        <v>4</v>
      </c>
      <c r="C67">
        <v>23</v>
      </c>
      <c r="D67" t="s">
        <v>21</v>
      </c>
      <c r="E67">
        <v>2022</v>
      </c>
      <c r="F67" t="s">
        <v>569</v>
      </c>
      <c r="G67" t="s">
        <v>569</v>
      </c>
      <c r="H67" s="7" t="str">
        <f t="shared" ref="H67" si="30">MID(J67,FIND("@",J67)+1,FIND(",",J67,FIND("@",J67))-FIND("@",J67)-1)</f>
        <v>42.5532611</v>
      </c>
      <c r="I67" s="7">
        <f t="shared" ref="I67" si="31">VALUE(SUBSTITUTE(MID(J67,FIND(",",J67,FIND("@",J67))+1,FIND(",",J67,FIND(",",J67,FIND("@",J67))+1)-FIND(",",J67,FIND("@",J67))-1),".",","))</f>
        <v>-2.5899448</v>
      </c>
      <c r="J67" t="s">
        <v>570</v>
      </c>
      <c r="K67" t="s">
        <v>100</v>
      </c>
      <c r="M67" s="3"/>
      <c r="N67" t="s">
        <v>89</v>
      </c>
      <c r="O67" t="s">
        <v>81</v>
      </c>
      <c r="P67" t="s">
        <v>82</v>
      </c>
      <c r="Q67" t="s">
        <v>568</v>
      </c>
    </row>
    <row r="68" spans="1:17" x14ac:dyDescent="0.3">
      <c r="A68" s="7" t="str">
        <f t="shared" si="7"/>
        <v>2022_03_20</v>
      </c>
      <c r="B68">
        <v>3</v>
      </c>
      <c r="C68">
        <v>20</v>
      </c>
      <c r="D68" t="s">
        <v>15</v>
      </c>
      <c r="E68">
        <v>2022</v>
      </c>
      <c r="F68" t="s">
        <v>389</v>
      </c>
      <c r="G68" t="s">
        <v>571</v>
      </c>
      <c r="H68" s="7" t="str">
        <f t="shared" si="8"/>
        <v>42.2623316</v>
      </c>
      <c r="I68" s="7">
        <f t="shared" si="9"/>
        <v>-0.4062867</v>
      </c>
      <c r="J68" t="s">
        <v>572</v>
      </c>
      <c r="K68" t="s">
        <v>100</v>
      </c>
      <c r="M68" s="3" t="s">
        <v>390</v>
      </c>
      <c r="N68" t="s">
        <v>89</v>
      </c>
      <c r="O68" t="s">
        <v>81</v>
      </c>
      <c r="P68" t="s">
        <v>82</v>
      </c>
      <c r="Q68" t="s">
        <v>83</v>
      </c>
    </row>
    <row r="69" spans="1:17" x14ac:dyDescent="0.3">
      <c r="A69" s="7" t="str">
        <f>CONCATENATE(E69,"_",TEXT(B69,"00"),"_",TEXT(C69,"00"))</f>
        <v>2022_02_27</v>
      </c>
      <c r="B69">
        <v>2</v>
      </c>
      <c r="C69">
        <v>27</v>
      </c>
      <c r="D69" t="s">
        <v>10</v>
      </c>
      <c r="E69">
        <v>2022</v>
      </c>
      <c r="F69" t="s">
        <v>387</v>
      </c>
      <c r="G69" t="s">
        <v>573</v>
      </c>
      <c r="H69" s="7" t="str">
        <f t="shared" si="8"/>
        <v>42.3253716</v>
      </c>
      <c r="I69" s="7">
        <f t="shared" si="9"/>
        <v>-0.21917</v>
      </c>
      <c r="J69" t="s">
        <v>574</v>
      </c>
      <c r="K69" t="s">
        <v>100</v>
      </c>
      <c r="M69" s="3" t="s">
        <v>388</v>
      </c>
      <c r="N69" t="s">
        <v>89</v>
      </c>
      <c r="O69" t="s">
        <v>81</v>
      </c>
      <c r="P69" t="s">
        <v>82</v>
      </c>
      <c r="Q69" t="s">
        <v>83</v>
      </c>
    </row>
    <row r="70" spans="1:17" x14ac:dyDescent="0.3">
      <c r="A70" s="7" t="str">
        <f t="shared" si="7"/>
        <v>2022_01_23</v>
      </c>
      <c r="B70">
        <v>1</v>
      </c>
      <c r="C70">
        <v>23</v>
      </c>
      <c r="D70" t="s">
        <v>6</v>
      </c>
      <c r="E70">
        <v>2022</v>
      </c>
      <c r="F70" t="s">
        <v>385</v>
      </c>
      <c r="G70" t="s">
        <v>575</v>
      </c>
      <c r="H70" s="7" t="str">
        <f t="shared" si="8"/>
        <v>41.3662966</v>
      </c>
      <c r="I70" s="7">
        <f t="shared" si="9"/>
        <v>-1.3041332999999999</v>
      </c>
      <c r="J70" t="s">
        <v>576</v>
      </c>
      <c r="K70" t="s">
        <v>100</v>
      </c>
      <c r="M70" s="3" t="s">
        <v>386</v>
      </c>
      <c r="N70" t="s">
        <v>89</v>
      </c>
      <c r="O70" t="s">
        <v>81</v>
      </c>
      <c r="P70" t="s">
        <v>82</v>
      </c>
      <c r="Q70" t="s">
        <v>86</v>
      </c>
    </row>
    <row r="71" spans="1:17" x14ac:dyDescent="0.3">
      <c r="A71" s="7" t="str">
        <f t="shared" si="7"/>
        <v>2021_12_01</v>
      </c>
      <c r="B71">
        <v>12</v>
      </c>
      <c r="C71">
        <v>1</v>
      </c>
      <c r="D71" t="s">
        <v>139</v>
      </c>
      <c r="E71">
        <v>2021</v>
      </c>
      <c r="F71" t="s">
        <v>383</v>
      </c>
      <c r="H71" s="7" t="e">
        <f t="shared" si="8"/>
        <v>#VALUE!</v>
      </c>
      <c r="I71" s="7" t="e">
        <f t="shared" si="9"/>
        <v>#VALUE!</v>
      </c>
      <c r="K71" t="s">
        <v>100</v>
      </c>
      <c r="M71" s="3" t="s">
        <v>384</v>
      </c>
      <c r="N71" t="s">
        <v>89</v>
      </c>
      <c r="O71" t="s">
        <v>81</v>
      </c>
    </row>
    <row r="72" spans="1:17" x14ac:dyDescent="0.3">
      <c r="A72" s="7" t="str">
        <f t="shared" si="7"/>
        <v>2021_11_01</v>
      </c>
      <c r="B72">
        <v>11</v>
      </c>
      <c r="C72">
        <v>1</v>
      </c>
      <c r="D72" t="s">
        <v>57</v>
      </c>
      <c r="E72">
        <v>2021</v>
      </c>
      <c r="F72" t="s">
        <v>381</v>
      </c>
      <c r="H72" s="7" t="e">
        <f t="shared" si="8"/>
        <v>#VALUE!</v>
      </c>
      <c r="I72" s="7" t="e">
        <f t="shared" si="9"/>
        <v>#VALUE!</v>
      </c>
      <c r="K72" t="s">
        <v>100</v>
      </c>
      <c r="M72" s="3" t="s">
        <v>382</v>
      </c>
      <c r="N72" t="s">
        <v>89</v>
      </c>
      <c r="O72" t="s">
        <v>81</v>
      </c>
    </row>
    <row r="73" spans="1:17" x14ac:dyDescent="0.3">
      <c r="A73" s="7" t="str">
        <f t="shared" si="7"/>
        <v>2021_10_01</v>
      </c>
      <c r="B73">
        <v>10</v>
      </c>
      <c r="C73">
        <v>1</v>
      </c>
      <c r="D73" t="s">
        <v>47</v>
      </c>
      <c r="E73">
        <v>2021</v>
      </c>
      <c r="F73" t="s">
        <v>371</v>
      </c>
      <c r="H73" s="7" t="e">
        <f t="shared" si="8"/>
        <v>#VALUE!</v>
      </c>
      <c r="I73" s="7" t="e">
        <f t="shared" si="9"/>
        <v>#VALUE!</v>
      </c>
      <c r="K73" t="s">
        <v>100</v>
      </c>
      <c r="M73" s="3" t="s">
        <v>372</v>
      </c>
      <c r="N73" t="s">
        <v>89</v>
      </c>
      <c r="O73" t="s">
        <v>81</v>
      </c>
    </row>
    <row r="74" spans="1:17" x14ac:dyDescent="0.3">
      <c r="A74" s="7" t="str">
        <f t="shared" si="7"/>
        <v>2021_10_01</v>
      </c>
      <c r="B74">
        <v>10</v>
      </c>
      <c r="C74">
        <v>1</v>
      </c>
      <c r="D74" t="s">
        <v>47</v>
      </c>
      <c r="E74">
        <v>2021</v>
      </c>
      <c r="F74" t="s">
        <v>379</v>
      </c>
      <c r="H74" s="7" t="e">
        <f t="shared" si="8"/>
        <v>#VALUE!</v>
      </c>
      <c r="I74" s="7" t="e">
        <f t="shared" si="9"/>
        <v>#VALUE!</v>
      </c>
      <c r="K74" t="s">
        <v>100</v>
      </c>
      <c r="M74" s="3" t="s">
        <v>380</v>
      </c>
      <c r="N74" t="s">
        <v>89</v>
      </c>
      <c r="O74" t="s">
        <v>81</v>
      </c>
    </row>
    <row r="75" spans="1:17" x14ac:dyDescent="0.3">
      <c r="A75" s="7" t="str">
        <f t="shared" si="7"/>
        <v>2021_09_01</v>
      </c>
      <c r="B75">
        <v>9</v>
      </c>
      <c r="C75">
        <v>1</v>
      </c>
      <c r="D75" t="s">
        <v>154</v>
      </c>
      <c r="E75">
        <v>2021</v>
      </c>
      <c r="F75" t="s">
        <v>377</v>
      </c>
      <c r="H75" s="7" t="e">
        <f t="shared" si="8"/>
        <v>#VALUE!</v>
      </c>
      <c r="I75" s="7" t="e">
        <f t="shared" si="9"/>
        <v>#VALUE!</v>
      </c>
      <c r="K75" t="s">
        <v>100</v>
      </c>
      <c r="M75" s="3" t="s">
        <v>378</v>
      </c>
      <c r="N75" t="s">
        <v>92</v>
      </c>
      <c r="O75" t="s">
        <v>81</v>
      </c>
    </row>
    <row r="76" spans="1:17" x14ac:dyDescent="0.3">
      <c r="A76" s="7" t="str">
        <f t="shared" si="7"/>
        <v>2021_07_01</v>
      </c>
      <c r="B76">
        <v>7</v>
      </c>
      <c r="C76">
        <v>1</v>
      </c>
      <c r="D76" t="s">
        <v>37</v>
      </c>
      <c r="E76">
        <v>2021</v>
      </c>
      <c r="F76" t="s">
        <v>375</v>
      </c>
      <c r="H76" s="7" t="e">
        <f t="shared" si="8"/>
        <v>#VALUE!</v>
      </c>
      <c r="I76" s="7" t="e">
        <f t="shared" si="9"/>
        <v>#VALUE!</v>
      </c>
      <c r="K76" t="s">
        <v>100</v>
      </c>
      <c r="M76" s="3" t="s">
        <v>376</v>
      </c>
      <c r="N76" t="s">
        <v>89</v>
      </c>
      <c r="O76" t="s">
        <v>81</v>
      </c>
    </row>
    <row r="77" spans="1:17" x14ac:dyDescent="0.3">
      <c r="A77" s="7" t="str">
        <f t="shared" si="7"/>
        <v>2021_06_01</v>
      </c>
      <c r="B77">
        <v>6</v>
      </c>
      <c r="C77">
        <v>1</v>
      </c>
      <c r="D77" t="s">
        <v>32</v>
      </c>
      <c r="E77">
        <v>2021</v>
      </c>
      <c r="F77" t="s">
        <v>373</v>
      </c>
      <c r="H77" s="7" t="e">
        <f t="shared" si="8"/>
        <v>#VALUE!</v>
      </c>
      <c r="I77" s="7" t="e">
        <f t="shared" si="9"/>
        <v>#VALUE!</v>
      </c>
      <c r="K77" t="s">
        <v>100</v>
      </c>
      <c r="M77" s="3" t="s">
        <v>374</v>
      </c>
      <c r="N77" t="s">
        <v>89</v>
      </c>
      <c r="O77" t="s">
        <v>81</v>
      </c>
    </row>
    <row r="78" spans="1:17" x14ac:dyDescent="0.3">
      <c r="A78" s="7" t="str">
        <f t="shared" si="7"/>
        <v>2021_05_01</v>
      </c>
      <c r="B78">
        <v>5</v>
      </c>
      <c r="C78">
        <v>1</v>
      </c>
      <c r="D78" t="s">
        <v>27</v>
      </c>
      <c r="E78">
        <v>2021</v>
      </c>
      <c r="F78" t="s">
        <v>371</v>
      </c>
      <c r="H78" s="7" t="e">
        <f t="shared" si="8"/>
        <v>#VALUE!</v>
      </c>
      <c r="I78" s="7" t="e">
        <f t="shared" si="9"/>
        <v>#VALUE!</v>
      </c>
      <c r="K78" t="s">
        <v>100</v>
      </c>
      <c r="M78" s="3" t="s">
        <v>372</v>
      </c>
      <c r="N78" t="s">
        <v>89</v>
      </c>
      <c r="O78" t="s">
        <v>81</v>
      </c>
    </row>
    <row r="79" spans="1:17" x14ac:dyDescent="0.3">
      <c r="A79" s="7" t="str">
        <f t="shared" si="7"/>
        <v>2020_12_01</v>
      </c>
      <c r="B79">
        <v>12</v>
      </c>
      <c r="C79">
        <v>1</v>
      </c>
      <c r="D79" t="s">
        <v>139</v>
      </c>
      <c r="E79">
        <v>2020</v>
      </c>
      <c r="F79" t="s">
        <v>369</v>
      </c>
      <c r="H79" s="7" t="e">
        <f t="shared" si="8"/>
        <v>#VALUE!</v>
      </c>
      <c r="I79" s="7" t="e">
        <f t="shared" si="9"/>
        <v>#VALUE!</v>
      </c>
      <c r="K79" t="s">
        <v>100</v>
      </c>
      <c r="M79" s="3" t="s">
        <v>370</v>
      </c>
      <c r="N79" t="s">
        <v>89</v>
      </c>
      <c r="O79" t="s">
        <v>81</v>
      </c>
    </row>
    <row r="80" spans="1:17" x14ac:dyDescent="0.3">
      <c r="A80" s="7" t="str">
        <f t="shared" ref="A80:A111" si="32">CONCATENATE(E80,"_",TEXT(B80,"00"),"_",TEXT(C80,"00"))</f>
        <v>2020_06_01</v>
      </c>
      <c r="B80">
        <v>6</v>
      </c>
      <c r="C80">
        <v>1</v>
      </c>
      <c r="D80" t="s">
        <v>32</v>
      </c>
      <c r="E80">
        <v>2020</v>
      </c>
      <c r="F80" t="s">
        <v>134</v>
      </c>
      <c r="H80" s="7" t="e">
        <f t="shared" ref="H80:H111" si="33">MID(J80,FIND("@",J80)+1,FIND(",",J80,FIND("@",J80))-FIND("@",J80)-1)</f>
        <v>#VALUE!</v>
      </c>
      <c r="I80" s="7" t="e">
        <f t="shared" ref="I80:I111" si="34">VALUE(SUBSTITUTE(MID(J80,FIND(",",J80,FIND("@",J80))+1,FIND(",",J80,FIND(",",J80,FIND("@",J80))+1)-FIND(",",J80,FIND("@",J80))-1),".",","))</f>
        <v>#VALUE!</v>
      </c>
      <c r="K80" t="s">
        <v>100</v>
      </c>
      <c r="M80" s="3" t="s">
        <v>36</v>
      </c>
      <c r="N80" t="s">
        <v>89</v>
      </c>
      <c r="O80" t="s">
        <v>81</v>
      </c>
    </row>
    <row r="81" spans="1:15" x14ac:dyDescent="0.3">
      <c r="A81" s="7" t="str">
        <f t="shared" si="32"/>
        <v>2020_02_01</v>
      </c>
      <c r="B81">
        <v>2</v>
      </c>
      <c r="C81">
        <v>1</v>
      </c>
      <c r="D81" t="s">
        <v>10</v>
      </c>
      <c r="E81">
        <v>2020</v>
      </c>
      <c r="F81" t="s">
        <v>367</v>
      </c>
      <c r="H81" s="7" t="e">
        <f t="shared" si="33"/>
        <v>#VALUE!</v>
      </c>
      <c r="I81" s="7" t="e">
        <f t="shared" si="34"/>
        <v>#VALUE!</v>
      </c>
      <c r="K81" t="s">
        <v>100</v>
      </c>
      <c r="M81" s="3" t="s">
        <v>368</v>
      </c>
      <c r="N81" t="s">
        <v>89</v>
      </c>
      <c r="O81" t="s">
        <v>81</v>
      </c>
    </row>
    <row r="82" spans="1:15" x14ac:dyDescent="0.3">
      <c r="A82" s="7" t="str">
        <f t="shared" si="32"/>
        <v>2020_01_01</v>
      </c>
      <c r="B82">
        <v>1</v>
      </c>
      <c r="C82">
        <v>1</v>
      </c>
      <c r="D82" t="s">
        <v>6</v>
      </c>
      <c r="E82">
        <v>2020</v>
      </c>
      <c r="F82" t="s">
        <v>365</v>
      </c>
      <c r="H82" s="7" t="e">
        <f t="shared" si="33"/>
        <v>#VALUE!</v>
      </c>
      <c r="I82" s="7" t="e">
        <f t="shared" si="34"/>
        <v>#VALUE!</v>
      </c>
      <c r="K82" t="s">
        <v>100</v>
      </c>
      <c r="M82" s="3" t="s">
        <v>366</v>
      </c>
      <c r="N82" t="s">
        <v>89</v>
      </c>
      <c r="O82" t="s">
        <v>81</v>
      </c>
    </row>
    <row r="83" spans="1:15" x14ac:dyDescent="0.3">
      <c r="A83" s="7" t="str">
        <f t="shared" si="32"/>
        <v>2019_12_01</v>
      </c>
      <c r="B83">
        <v>12</v>
      </c>
      <c r="C83">
        <v>1</v>
      </c>
      <c r="D83" t="s">
        <v>139</v>
      </c>
      <c r="E83">
        <v>2019</v>
      </c>
      <c r="F83" t="s">
        <v>112</v>
      </c>
      <c r="H83" s="7" t="e">
        <f t="shared" si="33"/>
        <v>#VALUE!</v>
      </c>
      <c r="I83" s="7" t="e">
        <f t="shared" si="34"/>
        <v>#VALUE!</v>
      </c>
      <c r="K83" t="s">
        <v>100</v>
      </c>
      <c r="M83" s="3" t="s">
        <v>113</v>
      </c>
      <c r="N83" t="s">
        <v>89</v>
      </c>
      <c r="O83" t="s">
        <v>81</v>
      </c>
    </row>
    <row r="84" spans="1:15" x14ac:dyDescent="0.3">
      <c r="A84" s="7" t="str">
        <f t="shared" si="32"/>
        <v>2019_11_01</v>
      </c>
      <c r="B84">
        <v>11</v>
      </c>
      <c r="C84">
        <v>1</v>
      </c>
      <c r="D84" t="s">
        <v>57</v>
      </c>
      <c r="E84">
        <v>2019</v>
      </c>
      <c r="F84" t="s">
        <v>363</v>
      </c>
      <c r="H84" s="7" t="e">
        <f t="shared" si="33"/>
        <v>#VALUE!</v>
      </c>
      <c r="I84" s="7" t="e">
        <f t="shared" si="34"/>
        <v>#VALUE!</v>
      </c>
      <c r="K84" t="s">
        <v>100</v>
      </c>
      <c r="M84" s="3" t="s">
        <v>364</v>
      </c>
      <c r="N84" t="s">
        <v>89</v>
      </c>
      <c r="O84" t="s">
        <v>81</v>
      </c>
    </row>
    <row r="85" spans="1:15" x14ac:dyDescent="0.3">
      <c r="A85" s="7" t="str">
        <f t="shared" si="32"/>
        <v>2019_10_01</v>
      </c>
      <c r="B85">
        <v>10</v>
      </c>
      <c r="C85">
        <v>1</v>
      </c>
      <c r="D85" t="s">
        <v>47</v>
      </c>
      <c r="E85">
        <v>2019</v>
      </c>
      <c r="F85" t="s">
        <v>361</v>
      </c>
      <c r="H85" s="7" t="e">
        <f t="shared" si="33"/>
        <v>#VALUE!</v>
      </c>
      <c r="I85" s="7" t="e">
        <f t="shared" si="34"/>
        <v>#VALUE!</v>
      </c>
      <c r="K85" t="s">
        <v>100</v>
      </c>
      <c r="M85" s="3" t="s">
        <v>362</v>
      </c>
      <c r="N85" t="s">
        <v>89</v>
      </c>
      <c r="O85" t="s">
        <v>81</v>
      </c>
    </row>
    <row r="86" spans="1:15" x14ac:dyDescent="0.3">
      <c r="A86" s="7" t="str">
        <f t="shared" si="32"/>
        <v>2019_09_01</v>
      </c>
      <c r="B86">
        <v>9</v>
      </c>
      <c r="C86">
        <v>1</v>
      </c>
      <c r="D86" t="s">
        <v>154</v>
      </c>
      <c r="E86">
        <v>2019</v>
      </c>
      <c r="F86" t="s">
        <v>359</v>
      </c>
      <c r="H86" s="7" t="e">
        <f t="shared" si="33"/>
        <v>#VALUE!</v>
      </c>
      <c r="I86" s="7" t="e">
        <f t="shared" si="34"/>
        <v>#VALUE!</v>
      </c>
      <c r="K86" t="s">
        <v>100</v>
      </c>
      <c r="M86" s="3" t="s">
        <v>360</v>
      </c>
      <c r="N86" t="s">
        <v>89</v>
      </c>
      <c r="O86" t="s">
        <v>81</v>
      </c>
    </row>
    <row r="87" spans="1:15" x14ac:dyDescent="0.3">
      <c r="A87" s="7" t="str">
        <f t="shared" si="32"/>
        <v>2019_08_01</v>
      </c>
      <c r="B87">
        <v>8</v>
      </c>
      <c r="C87">
        <v>1</v>
      </c>
      <c r="D87" t="s">
        <v>42</v>
      </c>
      <c r="E87">
        <v>2019</v>
      </c>
      <c r="F87" t="s">
        <v>357</v>
      </c>
      <c r="H87" s="7" t="e">
        <f t="shared" si="33"/>
        <v>#VALUE!</v>
      </c>
      <c r="I87" s="7" t="e">
        <f t="shared" si="34"/>
        <v>#VALUE!</v>
      </c>
      <c r="K87" t="s">
        <v>100</v>
      </c>
      <c r="M87" s="3" t="s">
        <v>358</v>
      </c>
      <c r="N87" t="s">
        <v>89</v>
      </c>
      <c r="O87" t="s">
        <v>81</v>
      </c>
    </row>
    <row r="88" spans="1:15" x14ac:dyDescent="0.3">
      <c r="A88" s="7" t="str">
        <f t="shared" si="32"/>
        <v>2019_07_01</v>
      </c>
      <c r="B88">
        <v>7</v>
      </c>
      <c r="C88">
        <v>1</v>
      </c>
      <c r="D88" t="s">
        <v>37</v>
      </c>
      <c r="E88">
        <v>2019</v>
      </c>
      <c r="F88" t="s">
        <v>355</v>
      </c>
      <c r="H88" s="7" t="e">
        <f t="shared" si="33"/>
        <v>#VALUE!</v>
      </c>
      <c r="I88" s="7" t="e">
        <f t="shared" si="34"/>
        <v>#VALUE!</v>
      </c>
      <c r="K88" t="s">
        <v>100</v>
      </c>
      <c r="M88" s="3" t="s">
        <v>356</v>
      </c>
      <c r="N88" t="s">
        <v>89</v>
      </c>
      <c r="O88" t="s">
        <v>81</v>
      </c>
    </row>
    <row r="89" spans="1:15" x14ac:dyDescent="0.3">
      <c r="A89" s="7" t="str">
        <f t="shared" si="32"/>
        <v>2019_06_01</v>
      </c>
      <c r="B89">
        <v>6</v>
      </c>
      <c r="C89">
        <v>1</v>
      </c>
      <c r="D89" t="s">
        <v>32</v>
      </c>
      <c r="E89">
        <v>2019</v>
      </c>
      <c r="F89" t="s">
        <v>353</v>
      </c>
      <c r="H89" s="7" t="e">
        <f t="shared" si="33"/>
        <v>#VALUE!</v>
      </c>
      <c r="I89" s="7" t="e">
        <f t="shared" si="34"/>
        <v>#VALUE!</v>
      </c>
      <c r="K89" t="s">
        <v>100</v>
      </c>
      <c r="M89" s="3" t="s">
        <v>354</v>
      </c>
      <c r="N89" t="s">
        <v>92</v>
      </c>
      <c r="O89" t="s">
        <v>81</v>
      </c>
    </row>
    <row r="90" spans="1:15" x14ac:dyDescent="0.3">
      <c r="A90" s="7" t="str">
        <f t="shared" si="32"/>
        <v>2019_05_01</v>
      </c>
      <c r="B90">
        <v>5</v>
      </c>
      <c r="C90">
        <v>1</v>
      </c>
      <c r="D90" t="s">
        <v>27</v>
      </c>
      <c r="E90">
        <v>2019</v>
      </c>
      <c r="F90" t="s">
        <v>351</v>
      </c>
      <c r="H90" s="7" t="e">
        <f t="shared" si="33"/>
        <v>#VALUE!</v>
      </c>
      <c r="I90" s="7" t="e">
        <f t="shared" si="34"/>
        <v>#VALUE!</v>
      </c>
      <c r="K90" t="s">
        <v>100</v>
      </c>
      <c r="M90" s="3" t="s">
        <v>352</v>
      </c>
      <c r="N90" t="s">
        <v>89</v>
      </c>
      <c r="O90" t="s">
        <v>81</v>
      </c>
    </row>
    <row r="91" spans="1:15" x14ac:dyDescent="0.3">
      <c r="A91" s="7" t="str">
        <f t="shared" si="32"/>
        <v>2019_04_01</v>
      </c>
      <c r="B91">
        <v>4</v>
      </c>
      <c r="C91">
        <v>1</v>
      </c>
      <c r="D91" t="s">
        <v>21</v>
      </c>
      <c r="E91">
        <v>2019</v>
      </c>
      <c r="F91" t="s">
        <v>349</v>
      </c>
      <c r="H91" s="7" t="e">
        <f t="shared" si="33"/>
        <v>#VALUE!</v>
      </c>
      <c r="I91" s="7" t="e">
        <f t="shared" si="34"/>
        <v>#VALUE!</v>
      </c>
      <c r="K91" t="s">
        <v>100</v>
      </c>
      <c r="M91" s="3" t="s">
        <v>350</v>
      </c>
      <c r="N91" t="s">
        <v>89</v>
      </c>
      <c r="O91" t="s">
        <v>81</v>
      </c>
    </row>
    <row r="92" spans="1:15" x14ac:dyDescent="0.3">
      <c r="A92" s="7" t="str">
        <f t="shared" si="32"/>
        <v>2019_03_01</v>
      </c>
      <c r="B92">
        <v>3</v>
      </c>
      <c r="C92">
        <v>1</v>
      </c>
      <c r="D92" t="s">
        <v>15</v>
      </c>
      <c r="E92">
        <v>2019</v>
      </c>
      <c r="F92" t="s">
        <v>347</v>
      </c>
      <c r="H92" s="7" t="e">
        <f t="shared" si="33"/>
        <v>#VALUE!</v>
      </c>
      <c r="I92" s="7" t="e">
        <f t="shared" si="34"/>
        <v>#VALUE!</v>
      </c>
      <c r="K92" t="s">
        <v>100</v>
      </c>
      <c r="M92" s="3" t="s">
        <v>348</v>
      </c>
      <c r="N92" t="s">
        <v>89</v>
      </c>
      <c r="O92" t="s">
        <v>81</v>
      </c>
    </row>
    <row r="93" spans="1:15" x14ac:dyDescent="0.3">
      <c r="A93" s="7" t="str">
        <f t="shared" si="32"/>
        <v>2019_02_01</v>
      </c>
      <c r="B93">
        <v>2</v>
      </c>
      <c r="C93">
        <v>1</v>
      </c>
      <c r="D93" t="s">
        <v>10</v>
      </c>
      <c r="E93">
        <v>2019</v>
      </c>
      <c r="F93" t="s">
        <v>343</v>
      </c>
      <c r="H93" s="7" t="e">
        <f t="shared" si="33"/>
        <v>#VALUE!</v>
      </c>
      <c r="I93" s="7" t="e">
        <f t="shared" si="34"/>
        <v>#VALUE!</v>
      </c>
      <c r="K93" t="s">
        <v>100</v>
      </c>
      <c r="M93" s="3" t="s">
        <v>344</v>
      </c>
      <c r="N93" t="s">
        <v>90</v>
      </c>
      <c r="O93" t="s">
        <v>81</v>
      </c>
    </row>
    <row r="94" spans="1:15" x14ac:dyDescent="0.3">
      <c r="A94" s="7" t="str">
        <f t="shared" si="32"/>
        <v>2019_02_01</v>
      </c>
      <c r="B94">
        <v>2</v>
      </c>
      <c r="C94">
        <v>1</v>
      </c>
      <c r="D94" t="s">
        <v>10</v>
      </c>
      <c r="E94">
        <v>2019</v>
      </c>
      <c r="F94" t="s">
        <v>345</v>
      </c>
      <c r="H94" s="7" t="e">
        <f t="shared" si="33"/>
        <v>#VALUE!</v>
      </c>
      <c r="I94" s="7" t="e">
        <f t="shared" si="34"/>
        <v>#VALUE!</v>
      </c>
      <c r="K94" t="s">
        <v>100</v>
      </c>
      <c r="M94" s="3" t="s">
        <v>346</v>
      </c>
      <c r="N94" t="s">
        <v>89</v>
      </c>
      <c r="O94" t="s">
        <v>81</v>
      </c>
    </row>
    <row r="95" spans="1:15" x14ac:dyDescent="0.3">
      <c r="A95" s="7" t="str">
        <f t="shared" si="32"/>
        <v>2019_01_01</v>
      </c>
      <c r="B95">
        <v>1</v>
      </c>
      <c r="C95">
        <v>1</v>
      </c>
      <c r="D95" t="s">
        <v>6</v>
      </c>
      <c r="E95">
        <v>2019</v>
      </c>
      <c r="F95" t="s">
        <v>128</v>
      </c>
      <c r="H95" s="7" t="e">
        <f t="shared" si="33"/>
        <v>#VALUE!</v>
      </c>
      <c r="I95" s="7" t="e">
        <f t="shared" si="34"/>
        <v>#VALUE!</v>
      </c>
      <c r="K95" t="s">
        <v>100</v>
      </c>
      <c r="M95" s="3" t="s">
        <v>129</v>
      </c>
      <c r="N95" t="s">
        <v>89</v>
      </c>
      <c r="O95" t="s">
        <v>81</v>
      </c>
    </row>
    <row r="96" spans="1:15" x14ac:dyDescent="0.3">
      <c r="A96" s="7" t="str">
        <f t="shared" si="32"/>
        <v>2018_12_01</v>
      </c>
      <c r="B96">
        <v>12</v>
      </c>
      <c r="C96">
        <v>1</v>
      </c>
      <c r="D96" t="s">
        <v>139</v>
      </c>
      <c r="E96">
        <v>2018</v>
      </c>
      <c r="F96" t="s">
        <v>341</v>
      </c>
      <c r="H96" s="7" t="e">
        <f t="shared" si="33"/>
        <v>#VALUE!</v>
      </c>
      <c r="I96" s="7" t="e">
        <f t="shared" si="34"/>
        <v>#VALUE!</v>
      </c>
      <c r="K96" t="s">
        <v>100</v>
      </c>
      <c r="M96" s="3" t="s">
        <v>342</v>
      </c>
      <c r="N96" t="s">
        <v>89</v>
      </c>
      <c r="O96" t="s">
        <v>81</v>
      </c>
    </row>
    <row r="97" spans="1:15" x14ac:dyDescent="0.3">
      <c r="A97" s="7" t="str">
        <f t="shared" si="32"/>
        <v>2018_11_01</v>
      </c>
      <c r="B97">
        <v>11</v>
      </c>
      <c r="C97">
        <v>1</v>
      </c>
      <c r="D97" t="s">
        <v>57</v>
      </c>
      <c r="E97">
        <v>2018</v>
      </c>
      <c r="F97" t="s">
        <v>339</v>
      </c>
      <c r="H97" s="7" t="e">
        <f t="shared" si="33"/>
        <v>#VALUE!</v>
      </c>
      <c r="I97" s="7" t="e">
        <f t="shared" si="34"/>
        <v>#VALUE!</v>
      </c>
      <c r="K97" t="s">
        <v>100</v>
      </c>
      <c r="M97" s="3" t="s">
        <v>340</v>
      </c>
      <c r="N97" t="s">
        <v>89</v>
      </c>
      <c r="O97" t="s">
        <v>81</v>
      </c>
    </row>
    <row r="98" spans="1:15" x14ac:dyDescent="0.3">
      <c r="A98" s="7" t="str">
        <f t="shared" si="32"/>
        <v>2018_10_01</v>
      </c>
      <c r="B98">
        <v>10</v>
      </c>
      <c r="C98">
        <v>1</v>
      </c>
      <c r="D98" t="s">
        <v>47</v>
      </c>
      <c r="E98">
        <v>2018</v>
      </c>
      <c r="F98" t="s">
        <v>337</v>
      </c>
      <c r="H98" s="7" t="e">
        <f t="shared" si="33"/>
        <v>#VALUE!</v>
      </c>
      <c r="I98" s="7" t="e">
        <f t="shared" si="34"/>
        <v>#VALUE!</v>
      </c>
      <c r="K98" t="s">
        <v>100</v>
      </c>
      <c r="M98" s="3" t="s">
        <v>338</v>
      </c>
      <c r="N98" t="s">
        <v>89</v>
      </c>
      <c r="O98" t="s">
        <v>81</v>
      </c>
    </row>
    <row r="99" spans="1:15" x14ac:dyDescent="0.3">
      <c r="A99" s="7" t="str">
        <f t="shared" si="32"/>
        <v>2018_09_01</v>
      </c>
      <c r="B99">
        <v>9</v>
      </c>
      <c r="C99">
        <v>1</v>
      </c>
      <c r="D99" t="s">
        <v>154</v>
      </c>
      <c r="E99">
        <v>2018</v>
      </c>
      <c r="F99" t="s">
        <v>335</v>
      </c>
      <c r="H99" s="7" t="e">
        <f t="shared" si="33"/>
        <v>#VALUE!</v>
      </c>
      <c r="I99" s="7" t="e">
        <f t="shared" si="34"/>
        <v>#VALUE!</v>
      </c>
      <c r="K99" t="s">
        <v>100</v>
      </c>
      <c r="M99" s="3" t="s">
        <v>336</v>
      </c>
      <c r="N99" t="s">
        <v>92</v>
      </c>
      <c r="O99" t="s">
        <v>81</v>
      </c>
    </row>
    <row r="100" spans="1:15" x14ac:dyDescent="0.3">
      <c r="A100" s="7" t="str">
        <f t="shared" si="32"/>
        <v>2018_08_01</v>
      </c>
      <c r="B100">
        <v>8</v>
      </c>
      <c r="C100">
        <v>1</v>
      </c>
      <c r="D100" t="s">
        <v>42</v>
      </c>
      <c r="E100">
        <v>2018</v>
      </c>
      <c r="F100" t="s">
        <v>333</v>
      </c>
      <c r="H100" s="7" t="e">
        <f t="shared" si="33"/>
        <v>#VALUE!</v>
      </c>
      <c r="I100" s="7" t="e">
        <f t="shared" si="34"/>
        <v>#VALUE!</v>
      </c>
      <c r="K100" t="s">
        <v>100</v>
      </c>
      <c r="M100" s="3" t="s">
        <v>334</v>
      </c>
      <c r="N100" t="s">
        <v>89</v>
      </c>
      <c r="O100" t="s">
        <v>81</v>
      </c>
    </row>
    <row r="101" spans="1:15" x14ac:dyDescent="0.3">
      <c r="A101" s="7" t="str">
        <f t="shared" si="32"/>
        <v>2018_07_01</v>
      </c>
      <c r="B101">
        <v>7</v>
      </c>
      <c r="C101">
        <v>1</v>
      </c>
      <c r="D101" t="s">
        <v>37</v>
      </c>
      <c r="E101">
        <v>2018</v>
      </c>
      <c r="F101" t="s">
        <v>331</v>
      </c>
      <c r="H101" s="7" t="e">
        <f t="shared" si="33"/>
        <v>#VALUE!</v>
      </c>
      <c r="I101" s="7" t="e">
        <f t="shared" si="34"/>
        <v>#VALUE!</v>
      </c>
      <c r="K101" t="s">
        <v>100</v>
      </c>
      <c r="M101" s="3" t="s">
        <v>332</v>
      </c>
      <c r="N101" t="s">
        <v>89</v>
      </c>
      <c r="O101" t="s">
        <v>81</v>
      </c>
    </row>
    <row r="102" spans="1:15" x14ac:dyDescent="0.3">
      <c r="A102" s="7" t="str">
        <f t="shared" si="32"/>
        <v>2018_06_01</v>
      </c>
      <c r="B102">
        <v>6</v>
      </c>
      <c r="C102">
        <v>1</v>
      </c>
      <c r="D102" t="s">
        <v>32</v>
      </c>
      <c r="E102">
        <v>2018</v>
      </c>
      <c r="F102" t="s">
        <v>329</v>
      </c>
      <c r="H102" s="7" t="e">
        <f t="shared" si="33"/>
        <v>#VALUE!</v>
      </c>
      <c r="I102" s="7" t="e">
        <f t="shared" si="34"/>
        <v>#VALUE!</v>
      </c>
      <c r="K102" t="s">
        <v>100</v>
      </c>
      <c r="M102" s="3" t="s">
        <v>330</v>
      </c>
      <c r="N102" t="s">
        <v>446</v>
      </c>
      <c r="O102" t="s">
        <v>81</v>
      </c>
    </row>
    <row r="103" spans="1:15" x14ac:dyDescent="0.3">
      <c r="A103" s="7" t="str">
        <f t="shared" si="32"/>
        <v>2018_05_01</v>
      </c>
      <c r="B103">
        <v>5</v>
      </c>
      <c r="C103">
        <v>1</v>
      </c>
      <c r="D103" t="s">
        <v>27</v>
      </c>
      <c r="E103">
        <v>2018</v>
      </c>
      <c r="F103" t="s">
        <v>325</v>
      </c>
      <c r="H103" s="7" t="e">
        <f t="shared" si="33"/>
        <v>#VALUE!</v>
      </c>
      <c r="I103" s="7" t="e">
        <f t="shared" si="34"/>
        <v>#VALUE!</v>
      </c>
      <c r="K103" t="s">
        <v>100</v>
      </c>
      <c r="M103" s="3" t="s">
        <v>326</v>
      </c>
      <c r="N103" t="s">
        <v>89</v>
      </c>
      <c r="O103" t="s">
        <v>81</v>
      </c>
    </row>
    <row r="104" spans="1:15" x14ac:dyDescent="0.3">
      <c r="A104" s="7" t="str">
        <f t="shared" si="32"/>
        <v>2018_05_01</v>
      </c>
      <c r="B104">
        <v>5</v>
      </c>
      <c r="C104">
        <v>1</v>
      </c>
      <c r="D104" t="s">
        <v>27</v>
      </c>
      <c r="E104">
        <v>2018</v>
      </c>
      <c r="F104" t="s">
        <v>327</v>
      </c>
      <c r="H104" s="7" t="e">
        <f t="shared" si="33"/>
        <v>#VALUE!</v>
      </c>
      <c r="I104" s="7" t="e">
        <f t="shared" si="34"/>
        <v>#VALUE!</v>
      </c>
      <c r="K104" t="s">
        <v>100</v>
      </c>
      <c r="M104" s="3" t="s">
        <v>328</v>
      </c>
      <c r="N104" t="s">
        <v>89</v>
      </c>
      <c r="O104" t="s">
        <v>81</v>
      </c>
    </row>
    <row r="105" spans="1:15" x14ac:dyDescent="0.3">
      <c r="A105" s="7" t="str">
        <f t="shared" si="32"/>
        <v>2018_04_01</v>
      </c>
      <c r="B105">
        <v>4</v>
      </c>
      <c r="C105">
        <v>1</v>
      </c>
      <c r="D105" t="s">
        <v>21</v>
      </c>
      <c r="E105">
        <v>2018</v>
      </c>
      <c r="F105" t="s">
        <v>323</v>
      </c>
      <c r="H105" s="7" t="e">
        <f t="shared" si="33"/>
        <v>#VALUE!</v>
      </c>
      <c r="I105" s="7" t="e">
        <f t="shared" si="34"/>
        <v>#VALUE!</v>
      </c>
      <c r="K105" t="s">
        <v>100</v>
      </c>
      <c r="M105" s="3" t="s">
        <v>324</v>
      </c>
      <c r="N105" t="s">
        <v>89</v>
      </c>
      <c r="O105" t="s">
        <v>81</v>
      </c>
    </row>
    <row r="106" spans="1:15" x14ac:dyDescent="0.3">
      <c r="A106" s="7" t="str">
        <f t="shared" si="32"/>
        <v>2018_03_01</v>
      </c>
      <c r="B106">
        <v>3</v>
      </c>
      <c r="C106">
        <v>1</v>
      </c>
      <c r="D106" t="s">
        <v>15</v>
      </c>
      <c r="E106">
        <v>2018</v>
      </c>
      <c r="F106" t="s">
        <v>321</v>
      </c>
      <c r="H106" s="7" t="e">
        <f t="shared" si="33"/>
        <v>#VALUE!</v>
      </c>
      <c r="I106" s="7" t="e">
        <f t="shared" si="34"/>
        <v>#VALUE!</v>
      </c>
      <c r="K106" t="s">
        <v>100</v>
      </c>
      <c r="M106" s="3" t="s">
        <v>322</v>
      </c>
      <c r="N106" t="s">
        <v>89</v>
      </c>
      <c r="O106" t="s">
        <v>81</v>
      </c>
    </row>
    <row r="107" spans="1:15" x14ac:dyDescent="0.3">
      <c r="A107" s="7" t="str">
        <f t="shared" si="32"/>
        <v>2018_02_01</v>
      </c>
      <c r="B107">
        <v>2</v>
      </c>
      <c r="C107">
        <v>1</v>
      </c>
      <c r="D107" t="s">
        <v>10</v>
      </c>
      <c r="E107">
        <v>2018</v>
      </c>
      <c r="F107" t="s">
        <v>319</v>
      </c>
      <c r="H107" s="7" t="e">
        <f t="shared" si="33"/>
        <v>#VALUE!</v>
      </c>
      <c r="I107" s="7" t="e">
        <f t="shared" si="34"/>
        <v>#VALUE!</v>
      </c>
      <c r="K107" t="s">
        <v>100</v>
      </c>
      <c r="M107" s="3" t="s">
        <v>320</v>
      </c>
      <c r="N107" t="s">
        <v>90</v>
      </c>
      <c r="O107" t="s">
        <v>81</v>
      </c>
    </row>
    <row r="108" spans="1:15" x14ac:dyDescent="0.3">
      <c r="A108" s="7" t="str">
        <f t="shared" si="32"/>
        <v>2018_01_01</v>
      </c>
      <c r="B108">
        <v>1</v>
      </c>
      <c r="C108">
        <v>1</v>
      </c>
      <c r="D108" t="s">
        <v>6</v>
      </c>
      <c r="E108">
        <v>2018</v>
      </c>
      <c r="F108" t="s">
        <v>317</v>
      </c>
      <c r="H108" s="7" t="e">
        <f t="shared" si="33"/>
        <v>#VALUE!</v>
      </c>
      <c r="I108" s="7" t="e">
        <f t="shared" si="34"/>
        <v>#VALUE!</v>
      </c>
      <c r="K108" t="s">
        <v>100</v>
      </c>
      <c r="M108" s="3" t="s">
        <v>318</v>
      </c>
      <c r="N108" t="s">
        <v>89</v>
      </c>
      <c r="O108" t="s">
        <v>81</v>
      </c>
    </row>
    <row r="109" spans="1:15" x14ac:dyDescent="0.3">
      <c r="A109" s="7" t="str">
        <f t="shared" si="32"/>
        <v>2017_12_01</v>
      </c>
      <c r="B109">
        <v>12</v>
      </c>
      <c r="C109">
        <v>1</v>
      </c>
      <c r="D109" t="s">
        <v>139</v>
      </c>
      <c r="E109">
        <v>2017</v>
      </c>
      <c r="F109" t="s">
        <v>315</v>
      </c>
      <c r="H109" s="7" t="e">
        <f t="shared" si="33"/>
        <v>#VALUE!</v>
      </c>
      <c r="I109" s="7" t="e">
        <f t="shared" si="34"/>
        <v>#VALUE!</v>
      </c>
      <c r="K109" t="s">
        <v>100</v>
      </c>
      <c r="M109" s="3" t="s">
        <v>316</v>
      </c>
      <c r="N109" t="s">
        <v>89</v>
      </c>
      <c r="O109" t="s">
        <v>81</v>
      </c>
    </row>
    <row r="110" spans="1:15" x14ac:dyDescent="0.3">
      <c r="A110" s="7" t="str">
        <f t="shared" si="32"/>
        <v>2017_11_01</v>
      </c>
      <c r="B110">
        <v>11</v>
      </c>
      <c r="C110">
        <v>1</v>
      </c>
      <c r="D110" t="s">
        <v>57</v>
      </c>
      <c r="E110">
        <v>2017</v>
      </c>
      <c r="F110" t="s">
        <v>313</v>
      </c>
      <c r="H110" s="7" t="e">
        <f t="shared" si="33"/>
        <v>#VALUE!</v>
      </c>
      <c r="I110" s="7" t="e">
        <f t="shared" si="34"/>
        <v>#VALUE!</v>
      </c>
      <c r="K110" t="s">
        <v>100</v>
      </c>
      <c r="M110" s="3" t="s">
        <v>314</v>
      </c>
      <c r="N110" t="s">
        <v>89</v>
      </c>
      <c r="O110" t="s">
        <v>81</v>
      </c>
    </row>
    <row r="111" spans="1:15" x14ac:dyDescent="0.3">
      <c r="A111" s="7" t="str">
        <f t="shared" si="32"/>
        <v>2017_10_01</v>
      </c>
      <c r="B111">
        <v>10</v>
      </c>
      <c r="C111">
        <v>1</v>
      </c>
      <c r="D111" t="s">
        <v>47</v>
      </c>
      <c r="E111">
        <v>2017</v>
      </c>
      <c r="F111" t="s">
        <v>311</v>
      </c>
      <c r="H111" s="7" t="e">
        <f t="shared" si="33"/>
        <v>#VALUE!</v>
      </c>
      <c r="I111" s="7" t="e">
        <f t="shared" si="34"/>
        <v>#VALUE!</v>
      </c>
      <c r="K111" t="s">
        <v>100</v>
      </c>
      <c r="M111" s="3" t="s">
        <v>312</v>
      </c>
      <c r="N111" t="s">
        <v>447</v>
      </c>
      <c r="O111" t="s">
        <v>81</v>
      </c>
    </row>
    <row r="112" spans="1:15" x14ac:dyDescent="0.3">
      <c r="A112" s="7" t="str">
        <f t="shared" ref="A112:A143" si="35">CONCATENATE(E112,"_",TEXT(B112,"00"),"_",TEXT(C112,"00"))</f>
        <v>2017_09_01</v>
      </c>
      <c r="B112">
        <v>9</v>
      </c>
      <c r="C112">
        <v>1</v>
      </c>
      <c r="D112" t="s">
        <v>154</v>
      </c>
      <c r="E112">
        <v>2017</v>
      </c>
      <c r="F112" t="s">
        <v>309</v>
      </c>
      <c r="H112" s="7" t="e">
        <f t="shared" ref="H112:H143" si="36">MID(J112,FIND("@",J112)+1,FIND(",",J112,FIND("@",J112))-FIND("@",J112)-1)</f>
        <v>#VALUE!</v>
      </c>
      <c r="I112" s="7" t="e">
        <f t="shared" ref="I112:I143" si="37">VALUE(SUBSTITUTE(MID(J112,FIND(",",J112,FIND("@",J112))+1,FIND(",",J112,FIND(",",J112,FIND("@",J112))+1)-FIND(",",J112,FIND("@",J112))-1),".",","))</f>
        <v>#VALUE!</v>
      </c>
      <c r="K112" t="s">
        <v>100</v>
      </c>
      <c r="M112" s="3" t="s">
        <v>310</v>
      </c>
      <c r="N112" t="s">
        <v>89</v>
      </c>
      <c r="O112" t="s">
        <v>81</v>
      </c>
    </row>
    <row r="113" spans="1:15" x14ac:dyDescent="0.3">
      <c r="A113" s="7" t="str">
        <f t="shared" si="35"/>
        <v>2017_07_01</v>
      </c>
      <c r="B113">
        <v>7</v>
      </c>
      <c r="C113">
        <v>1</v>
      </c>
      <c r="D113" t="s">
        <v>37</v>
      </c>
      <c r="E113">
        <v>2017</v>
      </c>
      <c r="F113" t="s">
        <v>307</v>
      </c>
      <c r="H113" s="7" t="e">
        <f t="shared" si="36"/>
        <v>#VALUE!</v>
      </c>
      <c r="I113" s="7" t="e">
        <f t="shared" si="37"/>
        <v>#VALUE!</v>
      </c>
      <c r="K113" t="s">
        <v>100</v>
      </c>
      <c r="M113" s="3" t="s">
        <v>308</v>
      </c>
      <c r="N113" t="s">
        <v>89</v>
      </c>
      <c r="O113" t="s">
        <v>81</v>
      </c>
    </row>
    <row r="114" spans="1:15" x14ac:dyDescent="0.3">
      <c r="A114" s="7" t="str">
        <f t="shared" si="35"/>
        <v>2017_06_01</v>
      </c>
      <c r="B114">
        <v>6</v>
      </c>
      <c r="C114">
        <v>1</v>
      </c>
      <c r="D114" t="s">
        <v>32</v>
      </c>
      <c r="E114">
        <v>2017</v>
      </c>
      <c r="F114" t="s">
        <v>305</v>
      </c>
      <c r="H114" s="7" t="e">
        <f t="shared" si="36"/>
        <v>#VALUE!</v>
      </c>
      <c r="I114" s="7" t="e">
        <f t="shared" si="37"/>
        <v>#VALUE!</v>
      </c>
      <c r="K114" t="s">
        <v>100</v>
      </c>
      <c r="M114" s="3" t="s">
        <v>306</v>
      </c>
      <c r="N114" t="s">
        <v>446</v>
      </c>
      <c r="O114" t="s">
        <v>81</v>
      </c>
    </row>
    <row r="115" spans="1:15" x14ac:dyDescent="0.3">
      <c r="A115" s="7" t="str">
        <f t="shared" si="35"/>
        <v>2017_05_01</v>
      </c>
      <c r="B115">
        <v>5</v>
      </c>
      <c r="C115">
        <v>1</v>
      </c>
      <c r="D115" t="s">
        <v>27</v>
      </c>
      <c r="E115">
        <v>2017</v>
      </c>
      <c r="F115" t="s">
        <v>301</v>
      </c>
      <c r="H115" s="7" t="e">
        <f t="shared" si="36"/>
        <v>#VALUE!</v>
      </c>
      <c r="I115" s="7" t="e">
        <f t="shared" si="37"/>
        <v>#VALUE!</v>
      </c>
      <c r="K115" t="s">
        <v>100</v>
      </c>
      <c r="M115" s="3" t="s">
        <v>302</v>
      </c>
      <c r="N115" t="s">
        <v>89</v>
      </c>
      <c r="O115" t="s">
        <v>81</v>
      </c>
    </row>
    <row r="116" spans="1:15" x14ac:dyDescent="0.3">
      <c r="A116" s="7" t="str">
        <f t="shared" si="35"/>
        <v>2017_05_01</v>
      </c>
      <c r="B116">
        <v>5</v>
      </c>
      <c r="C116">
        <v>1</v>
      </c>
      <c r="D116" t="s">
        <v>27</v>
      </c>
      <c r="E116">
        <v>2017</v>
      </c>
      <c r="F116" t="s">
        <v>303</v>
      </c>
      <c r="H116" s="7" t="e">
        <f t="shared" si="36"/>
        <v>#VALUE!</v>
      </c>
      <c r="I116" s="7" t="e">
        <f t="shared" si="37"/>
        <v>#VALUE!</v>
      </c>
      <c r="K116" t="s">
        <v>100</v>
      </c>
      <c r="M116" s="3" t="s">
        <v>304</v>
      </c>
      <c r="N116" t="s">
        <v>89</v>
      </c>
      <c r="O116" t="s">
        <v>81</v>
      </c>
    </row>
    <row r="117" spans="1:15" x14ac:dyDescent="0.3">
      <c r="A117" s="7" t="str">
        <f t="shared" si="35"/>
        <v>2017_04_01</v>
      </c>
      <c r="B117">
        <v>4</v>
      </c>
      <c r="C117">
        <v>1</v>
      </c>
      <c r="D117" t="s">
        <v>21</v>
      </c>
      <c r="E117">
        <v>2017</v>
      </c>
      <c r="F117" t="s">
        <v>299</v>
      </c>
      <c r="H117" s="7" t="e">
        <f t="shared" si="36"/>
        <v>#VALUE!</v>
      </c>
      <c r="I117" s="7" t="e">
        <f t="shared" si="37"/>
        <v>#VALUE!</v>
      </c>
      <c r="K117" t="s">
        <v>100</v>
      </c>
      <c r="M117" s="3" t="s">
        <v>300</v>
      </c>
      <c r="N117" t="s">
        <v>92</v>
      </c>
      <c r="O117" t="s">
        <v>81</v>
      </c>
    </row>
    <row r="118" spans="1:15" x14ac:dyDescent="0.3">
      <c r="A118" s="7" t="str">
        <f t="shared" si="35"/>
        <v>2017_03_01</v>
      </c>
      <c r="B118">
        <v>3</v>
      </c>
      <c r="C118">
        <v>1</v>
      </c>
      <c r="D118" t="s">
        <v>15</v>
      </c>
      <c r="E118">
        <v>2017</v>
      </c>
      <c r="F118" t="s">
        <v>281</v>
      </c>
      <c r="H118" s="7" t="e">
        <f t="shared" si="36"/>
        <v>#VALUE!</v>
      </c>
      <c r="I118" s="7" t="e">
        <f t="shared" si="37"/>
        <v>#VALUE!</v>
      </c>
      <c r="K118" t="s">
        <v>100</v>
      </c>
      <c r="M118" s="3" t="s">
        <v>282</v>
      </c>
      <c r="N118" t="s">
        <v>89</v>
      </c>
      <c r="O118" t="s">
        <v>81</v>
      </c>
    </row>
    <row r="119" spans="1:15" x14ac:dyDescent="0.3">
      <c r="A119" s="7" t="str">
        <f t="shared" si="35"/>
        <v>2017_02_01</v>
      </c>
      <c r="B119">
        <v>2</v>
      </c>
      <c r="C119">
        <v>1</v>
      </c>
      <c r="D119" t="s">
        <v>10</v>
      </c>
      <c r="E119">
        <v>2017</v>
      </c>
      <c r="F119" t="s">
        <v>297</v>
      </c>
      <c r="H119" s="7" t="e">
        <f t="shared" si="36"/>
        <v>#VALUE!</v>
      </c>
      <c r="I119" s="7" t="e">
        <f t="shared" si="37"/>
        <v>#VALUE!</v>
      </c>
      <c r="K119" t="s">
        <v>100</v>
      </c>
      <c r="M119" s="3" t="s">
        <v>298</v>
      </c>
      <c r="N119" t="s">
        <v>89</v>
      </c>
      <c r="O119" t="s">
        <v>81</v>
      </c>
    </row>
    <row r="120" spans="1:15" x14ac:dyDescent="0.3">
      <c r="A120" s="7" t="str">
        <f t="shared" si="35"/>
        <v>2017_01_01</v>
      </c>
      <c r="B120">
        <v>1</v>
      </c>
      <c r="C120">
        <v>1</v>
      </c>
      <c r="D120" t="s">
        <v>6</v>
      </c>
      <c r="E120">
        <v>2017</v>
      </c>
      <c r="F120" t="s">
        <v>295</v>
      </c>
      <c r="H120" s="7" t="e">
        <f t="shared" si="36"/>
        <v>#VALUE!</v>
      </c>
      <c r="I120" s="7" t="e">
        <f t="shared" si="37"/>
        <v>#VALUE!</v>
      </c>
      <c r="K120" t="s">
        <v>100</v>
      </c>
      <c r="M120" s="3" t="s">
        <v>296</v>
      </c>
      <c r="N120" t="s">
        <v>89</v>
      </c>
      <c r="O120" t="s">
        <v>81</v>
      </c>
    </row>
    <row r="121" spans="1:15" x14ac:dyDescent="0.3">
      <c r="A121" s="7" t="str">
        <f t="shared" si="35"/>
        <v>2016_12_01</v>
      </c>
      <c r="B121">
        <v>12</v>
      </c>
      <c r="C121">
        <v>1</v>
      </c>
      <c r="D121" t="s">
        <v>139</v>
      </c>
      <c r="E121">
        <v>2016</v>
      </c>
      <c r="F121" t="s">
        <v>293</v>
      </c>
      <c r="H121" s="7" t="e">
        <f t="shared" si="36"/>
        <v>#VALUE!</v>
      </c>
      <c r="I121" s="7" t="e">
        <f t="shared" si="37"/>
        <v>#VALUE!</v>
      </c>
      <c r="K121" t="s">
        <v>100</v>
      </c>
      <c r="M121" s="3" t="s">
        <v>294</v>
      </c>
      <c r="N121" t="s">
        <v>89</v>
      </c>
      <c r="O121" t="s">
        <v>81</v>
      </c>
    </row>
    <row r="122" spans="1:15" x14ac:dyDescent="0.3">
      <c r="A122" s="7" t="str">
        <f t="shared" si="35"/>
        <v>2016_11_01</v>
      </c>
      <c r="B122">
        <v>11</v>
      </c>
      <c r="C122">
        <v>1</v>
      </c>
      <c r="D122" t="s">
        <v>57</v>
      </c>
      <c r="E122">
        <v>2016</v>
      </c>
      <c r="F122" t="s">
        <v>291</v>
      </c>
      <c r="H122" s="7" t="e">
        <f t="shared" si="36"/>
        <v>#VALUE!</v>
      </c>
      <c r="I122" s="7" t="e">
        <f t="shared" si="37"/>
        <v>#VALUE!</v>
      </c>
      <c r="K122" t="s">
        <v>100</v>
      </c>
      <c r="M122" s="3" t="s">
        <v>292</v>
      </c>
      <c r="N122" t="s">
        <v>89</v>
      </c>
      <c r="O122" t="s">
        <v>81</v>
      </c>
    </row>
    <row r="123" spans="1:15" x14ac:dyDescent="0.3">
      <c r="A123" s="7" t="str">
        <f t="shared" si="35"/>
        <v>2016_10_01</v>
      </c>
      <c r="B123">
        <v>10</v>
      </c>
      <c r="C123">
        <v>1</v>
      </c>
      <c r="D123" t="s">
        <v>47</v>
      </c>
      <c r="E123">
        <v>2016</v>
      </c>
      <c r="F123" t="s">
        <v>289</v>
      </c>
      <c r="H123" s="7" t="e">
        <f t="shared" si="36"/>
        <v>#VALUE!</v>
      </c>
      <c r="I123" s="7" t="e">
        <f t="shared" si="37"/>
        <v>#VALUE!</v>
      </c>
      <c r="K123" t="s">
        <v>100</v>
      </c>
      <c r="M123" s="3" t="s">
        <v>290</v>
      </c>
      <c r="N123" t="s">
        <v>89</v>
      </c>
      <c r="O123" t="s">
        <v>81</v>
      </c>
    </row>
    <row r="124" spans="1:15" x14ac:dyDescent="0.3">
      <c r="A124" s="7" t="str">
        <f t="shared" si="35"/>
        <v>2016_09_01</v>
      </c>
      <c r="B124">
        <v>9</v>
      </c>
      <c r="C124">
        <v>1</v>
      </c>
      <c r="D124" t="s">
        <v>154</v>
      </c>
      <c r="E124">
        <v>2016</v>
      </c>
      <c r="F124" t="s">
        <v>287</v>
      </c>
      <c r="H124" s="7" t="e">
        <f t="shared" si="36"/>
        <v>#VALUE!</v>
      </c>
      <c r="I124" s="7" t="e">
        <f t="shared" si="37"/>
        <v>#VALUE!</v>
      </c>
      <c r="K124" t="s">
        <v>100</v>
      </c>
      <c r="M124" s="3" t="s">
        <v>288</v>
      </c>
      <c r="N124" t="s">
        <v>89</v>
      </c>
      <c r="O124" t="s">
        <v>81</v>
      </c>
    </row>
    <row r="125" spans="1:15" x14ac:dyDescent="0.3">
      <c r="A125" s="7" t="str">
        <f t="shared" si="35"/>
        <v>2016_06_01</v>
      </c>
      <c r="B125">
        <v>6</v>
      </c>
      <c r="C125">
        <v>1</v>
      </c>
      <c r="D125" t="s">
        <v>32</v>
      </c>
      <c r="E125">
        <v>2016</v>
      </c>
      <c r="F125" t="s">
        <v>285</v>
      </c>
      <c r="H125" s="7" t="e">
        <f t="shared" si="36"/>
        <v>#VALUE!</v>
      </c>
      <c r="I125" s="7" t="e">
        <f t="shared" si="37"/>
        <v>#VALUE!</v>
      </c>
      <c r="K125" t="s">
        <v>100</v>
      </c>
      <c r="M125" s="3" t="s">
        <v>286</v>
      </c>
      <c r="N125" t="s">
        <v>446</v>
      </c>
      <c r="O125" t="s">
        <v>81</v>
      </c>
    </row>
    <row r="126" spans="1:15" x14ac:dyDescent="0.3">
      <c r="A126" s="7" t="str">
        <f t="shared" si="35"/>
        <v>2016_05_01</v>
      </c>
      <c r="B126">
        <v>5</v>
      </c>
      <c r="C126">
        <v>1</v>
      </c>
      <c r="D126" t="s">
        <v>27</v>
      </c>
      <c r="E126">
        <v>2016</v>
      </c>
      <c r="F126" t="s">
        <v>283</v>
      </c>
      <c r="H126" s="7" t="e">
        <f t="shared" si="36"/>
        <v>#VALUE!</v>
      </c>
      <c r="I126" s="7" t="e">
        <f t="shared" si="37"/>
        <v>#VALUE!</v>
      </c>
      <c r="K126" t="s">
        <v>100</v>
      </c>
      <c r="M126" s="3" t="s">
        <v>284</v>
      </c>
      <c r="N126" t="s">
        <v>89</v>
      </c>
      <c r="O126" t="s">
        <v>81</v>
      </c>
    </row>
    <row r="127" spans="1:15" x14ac:dyDescent="0.3">
      <c r="A127" s="7" t="str">
        <f t="shared" si="35"/>
        <v>2016_04_01</v>
      </c>
      <c r="B127">
        <v>4</v>
      </c>
      <c r="C127">
        <v>1</v>
      </c>
      <c r="D127" t="s">
        <v>21</v>
      </c>
      <c r="E127">
        <v>2016</v>
      </c>
      <c r="F127" t="s">
        <v>281</v>
      </c>
      <c r="H127" s="7" t="e">
        <f t="shared" si="36"/>
        <v>#VALUE!</v>
      </c>
      <c r="I127" s="7" t="e">
        <f t="shared" si="37"/>
        <v>#VALUE!</v>
      </c>
      <c r="K127" t="s">
        <v>100</v>
      </c>
      <c r="M127" s="3" t="s">
        <v>282</v>
      </c>
      <c r="N127" t="s">
        <v>89</v>
      </c>
      <c r="O127" t="s">
        <v>81</v>
      </c>
    </row>
    <row r="128" spans="1:15" x14ac:dyDescent="0.3">
      <c r="A128" s="7" t="str">
        <f t="shared" si="35"/>
        <v>2016_02_01</v>
      </c>
      <c r="B128">
        <v>2</v>
      </c>
      <c r="C128">
        <v>1</v>
      </c>
      <c r="D128" t="s">
        <v>10</v>
      </c>
      <c r="E128">
        <v>2016</v>
      </c>
      <c r="F128" t="s">
        <v>279</v>
      </c>
      <c r="H128" s="7" t="e">
        <f t="shared" si="36"/>
        <v>#VALUE!</v>
      </c>
      <c r="I128" s="7" t="e">
        <f t="shared" si="37"/>
        <v>#VALUE!</v>
      </c>
      <c r="K128" t="s">
        <v>100</v>
      </c>
      <c r="M128" s="3" t="s">
        <v>280</v>
      </c>
      <c r="N128" t="s">
        <v>89</v>
      </c>
      <c r="O128" t="s">
        <v>81</v>
      </c>
    </row>
    <row r="129" spans="1:15" x14ac:dyDescent="0.3">
      <c r="A129" s="7" t="str">
        <f t="shared" si="35"/>
        <v>2016_01_01</v>
      </c>
      <c r="B129">
        <v>1</v>
      </c>
      <c r="C129">
        <v>1</v>
      </c>
      <c r="D129" t="s">
        <v>6</v>
      </c>
      <c r="E129">
        <v>2016</v>
      </c>
      <c r="F129" t="s">
        <v>277</v>
      </c>
      <c r="H129" s="7" t="e">
        <f t="shared" si="36"/>
        <v>#VALUE!</v>
      </c>
      <c r="I129" s="7" t="e">
        <f t="shared" si="37"/>
        <v>#VALUE!</v>
      </c>
      <c r="K129" t="s">
        <v>100</v>
      </c>
      <c r="M129" s="3" t="s">
        <v>278</v>
      </c>
      <c r="N129" t="s">
        <v>89</v>
      </c>
      <c r="O129" t="s">
        <v>81</v>
      </c>
    </row>
    <row r="130" spans="1:15" x14ac:dyDescent="0.3">
      <c r="A130" s="7" t="str">
        <f t="shared" si="35"/>
        <v>2015_12_01</v>
      </c>
      <c r="B130">
        <v>12</v>
      </c>
      <c r="C130">
        <v>1</v>
      </c>
      <c r="D130" t="s">
        <v>139</v>
      </c>
      <c r="E130">
        <v>2015</v>
      </c>
      <c r="F130" t="s">
        <v>275</v>
      </c>
      <c r="H130" s="7" t="e">
        <f t="shared" si="36"/>
        <v>#VALUE!</v>
      </c>
      <c r="I130" s="7" t="e">
        <f t="shared" si="37"/>
        <v>#VALUE!</v>
      </c>
      <c r="K130" t="s">
        <v>100</v>
      </c>
      <c r="M130" s="3" t="s">
        <v>276</v>
      </c>
      <c r="N130" t="s">
        <v>89</v>
      </c>
      <c r="O130" t="s">
        <v>81</v>
      </c>
    </row>
    <row r="131" spans="1:15" x14ac:dyDescent="0.3">
      <c r="A131" s="7" t="str">
        <f t="shared" si="35"/>
        <v>2015_11_01</v>
      </c>
      <c r="B131">
        <v>11</v>
      </c>
      <c r="C131">
        <v>1</v>
      </c>
      <c r="D131" t="s">
        <v>57</v>
      </c>
      <c r="E131">
        <v>2015</v>
      </c>
      <c r="F131" t="s">
        <v>273</v>
      </c>
      <c r="H131" s="7" t="e">
        <f t="shared" si="36"/>
        <v>#VALUE!</v>
      </c>
      <c r="I131" s="7" t="e">
        <f t="shared" si="37"/>
        <v>#VALUE!</v>
      </c>
      <c r="K131" t="s">
        <v>100</v>
      </c>
      <c r="M131" s="3" t="s">
        <v>274</v>
      </c>
      <c r="N131" t="s">
        <v>89</v>
      </c>
      <c r="O131" t="s">
        <v>81</v>
      </c>
    </row>
    <row r="132" spans="1:15" x14ac:dyDescent="0.3">
      <c r="A132" s="7" t="str">
        <f t="shared" si="35"/>
        <v>2015_10_01</v>
      </c>
      <c r="B132">
        <v>10</v>
      </c>
      <c r="C132">
        <v>1</v>
      </c>
      <c r="D132" t="s">
        <v>47</v>
      </c>
      <c r="E132">
        <v>2015</v>
      </c>
      <c r="F132" t="s">
        <v>271</v>
      </c>
      <c r="H132" s="7" t="e">
        <f t="shared" si="36"/>
        <v>#VALUE!</v>
      </c>
      <c r="I132" s="7" t="e">
        <f t="shared" si="37"/>
        <v>#VALUE!</v>
      </c>
      <c r="K132" t="s">
        <v>100</v>
      </c>
      <c r="M132" s="3" t="s">
        <v>272</v>
      </c>
      <c r="N132" t="s">
        <v>90</v>
      </c>
      <c r="O132" t="s">
        <v>81</v>
      </c>
    </row>
    <row r="133" spans="1:15" x14ac:dyDescent="0.3">
      <c r="A133" s="7" t="str">
        <f t="shared" si="35"/>
        <v>2015_09_01</v>
      </c>
      <c r="B133">
        <v>9</v>
      </c>
      <c r="C133">
        <v>1</v>
      </c>
      <c r="D133" t="s">
        <v>154</v>
      </c>
      <c r="E133">
        <v>2015</v>
      </c>
      <c r="F133" t="s">
        <v>269</v>
      </c>
      <c r="H133" s="7" t="e">
        <f t="shared" si="36"/>
        <v>#VALUE!</v>
      </c>
      <c r="I133" s="7" t="e">
        <f t="shared" si="37"/>
        <v>#VALUE!</v>
      </c>
      <c r="K133" t="s">
        <v>100</v>
      </c>
      <c r="M133" s="3" t="s">
        <v>270</v>
      </c>
      <c r="N133" t="s">
        <v>89</v>
      </c>
      <c r="O133" t="s">
        <v>81</v>
      </c>
    </row>
    <row r="134" spans="1:15" x14ac:dyDescent="0.3">
      <c r="A134" s="7" t="str">
        <f t="shared" si="35"/>
        <v>2015_07_01</v>
      </c>
      <c r="B134">
        <v>7</v>
      </c>
      <c r="C134">
        <v>1</v>
      </c>
      <c r="D134" t="s">
        <v>37</v>
      </c>
      <c r="E134">
        <v>2015</v>
      </c>
      <c r="F134" t="s">
        <v>267</v>
      </c>
      <c r="H134" s="7" t="e">
        <f t="shared" si="36"/>
        <v>#VALUE!</v>
      </c>
      <c r="I134" s="7" t="e">
        <f t="shared" si="37"/>
        <v>#VALUE!</v>
      </c>
      <c r="K134" t="s">
        <v>100</v>
      </c>
      <c r="M134" s="3" t="s">
        <v>268</v>
      </c>
      <c r="N134" t="s">
        <v>89</v>
      </c>
      <c r="O134" t="s">
        <v>81</v>
      </c>
    </row>
    <row r="135" spans="1:15" x14ac:dyDescent="0.3">
      <c r="A135" s="7" t="str">
        <f t="shared" si="35"/>
        <v>2015_06_01</v>
      </c>
      <c r="B135">
        <v>6</v>
      </c>
      <c r="C135">
        <v>1</v>
      </c>
      <c r="D135" t="s">
        <v>32</v>
      </c>
      <c r="E135">
        <v>2015</v>
      </c>
      <c r="F135" t="s">
        <v>265</v>
      </c>
      <c r="H135" s="7" t="e">
        <f t="shared" si="36"/>
        <v>#VALUE!</v>
      </c>
      <c r="I135" s="7" t="e">
        <f t="shared" si="37"/>
        <v>#VALUE!</v>
      </c>
      <c r="K135" t="s">
        <v>100</v>
      </c>
      <c r="M135" s="3" t="s">
        <v>266</v>
      </c>
      <c r="N135" t="s">
        <v>89</v>
      </c>
      <c r="O135" t="s">
        <v>81</v>
      </c>
    </row>
    <row r="136" spans="1:15" x14ac:dyDescent="0.3">
      <c r="A136" s="7" t="str">
        <f t="shared" si="35"/>
        <v>2015_05_01</v>
      </c>
      <c r="B136">
        <v>5</v>
      </c>
      <c r="C136">
        <v>1</v>
      </c>
      <c r="D136" t="s">
        <v>27</v>
      </c>
      <c r="E136">
        <v>2015</v>
      </c>
      <c r="F136" t="s">
        <v>263</v>
      </c>
      <c r="H136" s="7" t="e">
        <f t="shared" si="36"/>
        <v>#VALUE!</v>
      </c>
      <c r="I136" s="7" t="e">
        <f t="shared" si="37"/>
        <v>#VALUE!</v>
      </c>
      <c r="K136" t="s">
        <v>100</v>
      </c>
      <c r="M136" s="3" t="s">
        <v>264</v>
      </c>
      <c r="N136" t="s">
        <v>448</v>
      </c>
      <c r="O136" t="s">
        <v>81</v>
      </c>
    </row>
    <row r="137" spans="1:15" x14ac:dyDescent="0.3">
      <c r="A137" s="7" t="str">
        <f t="shared" si="35"/>
        <v>2015_04_01</v>
      </c>
      <c r="B137">
        <v>4</v>
      </c>
      <c r="C137">
        <v>1</v>
      </c>
      <c r="D137" t="s">
        <v>21</v>
      </c>
      <c r="E137">
        <v>2015</v>
      </c>
      <c r="F137" t="s">
        <v>261</v>
      </c>
      <c r="H137" s="7" t="e">
        <f t="shared" si="36"/>
        <v>#VALUE!</v>
      </c>
      <c r="I137" s="7" t="e">
        <f t="shared" si="37"/>
        <v>#VALUE!</v>
      </c>
      <c r="K137" t="s">
        <v>100</v>
      </c>
      <c r="M137" s="3" t="s">
        <v>262</v>
      </c>
      <c r="N137" t="s">
        <v>89</v>
      </c>
      <c r="O137" t="s">
        <v>81</v>
      </c>
    </row>
    <row r="138" spans="1:15" x14ac:dyDescent="0.3">
      <c r="A138" s="7" t="str">
        <f t="shared" si="35"/>
        <v>2015_03_01</v>
      </c>
      <c r="B138">
        <v>3</v>
      </c>
      <c r="C138">
        <v>1</v>
      </c>
      <c r="D138" t="s">
        <v>15</v>
      </c>
      <c r="E138">
        <v>2015</v>
      </c>
      <c r="F138" t="s">
        <v>259</v>
      </c>
      <c r="H138" s="7" t="e">
        <f t="shared" si="36"/>
        <v>#VALUE!</v>
      </c>
      <c r="I138" s="7" t="e">
        <f t="shared" si="37"/>
        <v>#VALUE!</v>
      </c>
      <c r="K138" t="s">
        <v>100</v>
      </c>
      <c r="M138" s="3" t="s">
        <v>260</v>
      </c>
      <c r="N138" t="s">
        <v>92</v>
      </c>
      <c r="O138" t="s">
        <v>81</v>
      </c>
    </row>
    <row r="139" spans="1:15" x14ac:dyDescent="0.3">
      <c r="A139" s="7" t="str">
        <f t="shared" si="35"/>
        <v>2015_02_01</v>
      </c>
      <c r="B139">
        <v>2</v>
      </c>
      <c r="C139">
        <v>1</v>
      </c>
      <c r="D139" t="s">
        <v>10</v>
      </c>
      <c r="E139">
        <v>2015</v>
      </c>
      <c r="F139" t="s">
        <v>255</v>
      </c>
      <c r="H139" s="7" t="e">
        <f t="shared" si="36"/>
        <v>#VALUE!</v>
      </c>
      <c r="I139" s="7" t="e">
        <f t="shared" si="37"/>
        <v>#VALUE!</v>
      </c>
      <c r="K139" t="s">
        <v>100</v>
      </c>
      <c r="M139" s="3" t="s">
        <v>256</v>
      </c>
      <c r="N139" t="s">
        <v>90</v>
      </c>
      <c r="O139" t="s">
        <v>81</v>
      </c>
    </row>
    <row r="140" spans="1:15" x14ac:dyDescent="0.3">
      <c r="A140" s="7" t="str">
        <f t="shared" si="35"/>
        <v>2015_02_01</v>
      </c>
      <c r="B140">
        <v>2</v>
      </c>
      <c r="C140">
        <v>1</v>
      </c>
      <c r="D140" t="s">
        <v>10</v>
      </c>
      <c r="E140">
        <v>2015</v>
      </c>
      <c r="F140" t="s">
        <v>257</v>
      </c>
      <c r="H140" s="7" t="e">
        <f t="shared" si="36"/>
        <v>#VALUE!</v>
      </c>
      <c r="I140" s="7" t="e">
        <f t="shared" si="37"/>
        <v>#VALUE!</v>
      </c>
      <c r="K140" t="s">
        <v>100</v>
      </c>
      <c r="M140" s="3" t="s">
        <v>258</v>
      </c>
      <c r="N140" t="s">
        <v>89</v>
      </c>
      <c r="O140" t="s">
        <v>81</v>
      </c>
    </row>
    <row r="141" spans="1:15" x14ac:dyDescent="0.3">
      <c r="A141" s="7" t="str">
        <f t="shared" si="35"/>
        <v>2015_01_01</v>
      </c>
      <c r="B141">
        <v>1</v>
      </c>
      <c r="C141">
        <v>1</v>
      </c>
      <c r="D141" t="s">
        <v>6</v>
      </c>
      <c r="E141">
        <v>2015</v>
      </c>
      <c r="F141" t="s">
        <v>253</v>
      </c>
      <c r="H141" s="7" t="e">
        <f t="shared" si="36"/>
        <v>#VALUE!</v>
      </c>
      <c r="I141" s="7" t="e">
        <f t="shared" si="37"/>
        <v>#VALUE!</v>
      </c>
      <c r="K141" t="s">
        <v>100</v>
      </c>
      <c r="M141" s="3" t="s">
        <v>254</v>
      </c>
      <c r="N141" t="s">
        <v>89</v>
      </c>
      <c r="O141" t="s">
        <v>81</v>
      </c>
    </row>
    <row r="142" spans="1:15" x14ac:dyDescent="0.3">
      <c r="A142" s="7" t="str">
        <f t="shared" si="35"/>
        <v>2014_12_01</v>
      </c>
      <c r="B142">
        <v>12</v>
      </c>
      <c r="C142">
        <v>1</v>
      </c>
      <c r="D142" t="s">
        <v>139</v>
      </c>
      <c r="E142">
        <v>2014</v>
      </c>
      <c r="F142" t="s">
        <v>251</v>
      </c>
      <c r="H142" s="7" t="e">
        <f t="shared" si="36"/>
        <v>#VALUE!</v>
      </c>
      <c r="I142" s="7" t="e">
        <f t="shared" si="37"/>
        <v>#VALUE!</v>
      </c>
      <c r="K142" t="s">
        <v>100</v>
      </c>
      <c r="M142" s="3" t="s">
        <v>252</v>
      </c>
      <c r="N142" t="s">
        <v>89</v>
      </c>
      <c r="O142" t="s">
        <v>81</v>
      </c>
    </row>
    <row r="143" spans="1:15" x14ac:dyDescent="0.3">
      <c r="A143" s="7" t="str">
        <f t="shared" si="35"/>
        <v>2014_11_01</v>
      </c>
      <c r="B143">
        <v>11</v>
      </c>
      <c r="C143">
        <v>1</v>
      </c>
      <c r="D143" t="s">
        <v>57</v>
      </c>
      <c r="E143">
        <v>2014</v>
      </c>
      <c r="F143" t="s">
        <v>249</v>
      </c>
      <c r="H143" s="7" t="e">
        <f t="shared" si="36"/>
        <v>#VALUE!</v>
      </c>
      <c r="I143" s="7" t="e">
        <f t="shared" si="37"/>
        <v>#VALUE!</v>
      </c>
      <c r="K143" t="s">
        <v>100</v>
      </c>
      <c r="M143" s="3" t="s">
        <v>250</v>
      </c>
      <c r="N143" t="s">
        <v>90</v>
      </c>
      <c r="O143" t="s">
        <v>81</v>
      </c>
    </row>
    <row r="144" spans="1:15" x14ac:dyDescent="0.3">
      <c r="A144" s="7" t="str">
        <f t="shared" ref="A144:A175" si="38">CONCATENATE(E144,"_",TEXT(B144,"00"),"_",TEXT(C144,"00"))</f>
        <v>2014_10_01</v>
      </c>
      <c r="B144">
        <v>10</v>
      </c>
      <c r="C144">
        <v>1</v>
      </c>
      <c r="D144" t="s">
        <v>47</v>
      </c>
      <c r="E144">
        <v>2014</v>
      </c>
      <c r="F144" t="s">
        <v>247</v>
      </c>
      <c r="H144" s="7" t="e">
        <f t="shared" ref="H144:H175" si="39">MID(J144,FIND("@",J144)+1,FIND(",",J144,FIND("@",J144))-FIND("@",J144)-1)</f>
        <v>#VALUE!</v>
      </c>
      <c r="I144" s="7" t="e">
        <f t="shared" ref="I144:I175" si="40">VALUE(SUBSTITUTE(MID(J144,FIND(",",J144,FIND("@",J144))+1,FIND(",",J144,FIND(",",J144,FIND("@",J144))+1)-FIND(",",J144,FIND("@",J144))-1),".",","))</f>
        <v>#VALUE!</v>
      </c>
      <c r="K144" t="s">
        <v>100</v>
      </c>
      <c r="M144" s="3" t="s">
        <v>248</v>
      </c>
      <c r="N144" t="s">
        <v>89</v>
      </c>
      <c r="O144" t="s">
        <v>81</v>
      </c>
    </row>
    <row r="145" spans="1:15" x14ac:dyDescent="0.3">
      <c r="A145" s="7" t="str">
        <f t="shared" si="38"/>
        <v>2014_09_01</v>
      </c>
      <c r="B145">
        <v>9</v>
      </c>
      <c r="C145">
        <v>1</v>
      </c>
      <c r="D145" t="s">
        <v>154</v>
      </c>
      <c r="E145">
        <v>2014</v>
      </c>
      <c r="F145" t="s">
        <v>245</v>
      </c>
      <c r="H145" s="7" t="e">
        <f t="shared" si="39"/>
        <v>#VALUE!</v>
      </c>
      <c r="I145" s="7" t="e">
        <f t="shared" si="40"/>
        <v>#VALUE!</v>
      </c>
      <c r="K145" t="s">
        <v>100</v>
      </c>
      <c r="M145" s="3" t="s">
        <v>246</v>
      </c>
      <c r="N145" t="s">
        <v>89</v>
      </c>
      <c r="O145" t="s">
        <v>81</v>
      </c>
    </row>
    <row r="146" spans="1:15" x14ac:dyDescent="0.3">
      <c r="A146" s="7" t="str">
        <f t="shared" si="38"/>
        <v>2014_07_01</v>
      </c>
      <c r="B146">
        <v>7</v>
      </c>
      <c r="C146">
        <v>1</v>
      </c>
      <c r="D146" t="s">
        <v>37</v>
      </c>
      <c r="E146">
        <v>2014</v>
      </c>
      <c r="F146" t="s">
        <v>243</v>
      </c>
      <c r="H146" s="7" t="e">
        <f t="shared" si="39"/>
        <v>#VALUE!</v>
      </c>
      <c r="I146" s="7" t="e">
        <f t="shared" si="40"/>
        <v>#VALUE!</v>
      </c>
      <c r="K146" t="s">
        <v>100</v>
      </c>
      <c r="M146" s="3" t="s">
        <v>244</v>
      </c>
      <c r="N146" t="s">
        <v>90</v>
      </c>
      <c r="O146" t="s">
        <v>81</v>
      </c>
    </row>
    <row r="147" spans="1:15" x14ac:dyDescent="0.3">
      <c r="A147" s="7" t="str">
        <f t="shared" si="38"/>
        <v>2014_06_01</v>
      </c>
      <c r="B147">
        <v>6</v>
      </c>
      <c r="C147">
        <v>1</v>
      </c>
      <c r="D147" t="s">
        <v>32</v>
      </c>
      <c r="E147">
        <v>2014</v>
      </c>
      <c r="F147" t="s">
        <v>241</v>
      </c>
      <c r="H147" s="7" t="e">
        <f t="shared" si="39"/>
        <v>#VALUE!</v>
      </c>
      <c r="I147" s="7" t="e">
        <f t="shared" si="40"/>
        <v>#VALUE!</v>
      </c>
      <c r="K147" t="s">
        <v>100</v>
      </c>
      <c r="M147" s="3" t="s">
        <v>242</v>
      </c>
      <c r="N147" t="s">
        <v>89</v>
      </c>
      <c r="O147" t="s">
        <v>81</v>
      </c>
    </row>
    <row r="148" spans="1:15" x14ac:dyDescent="0.3">
      <c r="A148" s="7" t="str">
        <f t="shared" si="38"/>
        <v>2014_05_01</v>
      </c>
      <c r="B148">
        <v>5</v>
      </c>
      <c r="C148">
        <v>1</v>
      </c>
      <c r="D148" t="s">
        <v>27</v>
      </c>
      <c r="E148">
        <v>2014</v>
      </c>
      <c r="F148" t="s">
        <v>237</v>
      </c>
      <c r="H148" s="7" t="e">
        <f t="shared" si="39"/>
        <v>#VALUE!</v>
      </c>
      <c r="I148" s="7" t="e">
        <f t="shared" si="40"/>
        <v>#VALUE!</v>
      </c>
      <c r="K148" t="s">
        <v>100</v>
      </c>
      <c r="M148" s="3" t="s">
        <v>238</v>
      </c>
      <c r="N148" t="s">
        <v>89</v>
      </c>
      <c r="O148" t="s">
        <v>81</v>
      </c>
    </row>
    <row r="149" spans="1:15" x14ac:dyDescent="0.3">
      <c r="A149" s="7" t="str">
        <f t="shared" si="38"/>
        <v>2014_05_01</v>
      </c>
      <c r="B149">
        <v>5</v>
      </c>
      <c r="C149">
        <v>1</v>
      </c>
      <c r="D149" t="s">
        <v>27</v>
      </c>
      <c r="E149">
        <v>2014</v>
      </c>
      <c r="F149" t="s">
        <v>239</v>
      </c>
      <c r="H149" s="7" t="e">
        <f t="shared" si="39"/>
        <v>#VALUE!</v>
      </c>
      <c r="I149" s="7" t="e">
        <f t="shared" si="40"/>
        <v>#VALUE!</v>
      </c>
      <c r="K149" t="s">
        <v>100</v>
      </c>
      <c r="M149" s="3" t="s">
        <v>240</v>
      </c>
      <c r="N149" t="s">
        <v>92</v>
      </c>
      <c r="O149" t="s">
        <v>81</v>
      </c>
    </row>
    <row r="150" spans="1:15" x14ac:dyDescent="0.3">
      <c r="A150" s="7" t="str">
        <f t="shared" si="38"/>
        <v>2014_04_01</v>
      </c>
      <c r="B150">
        <v>4</v>
      </c>
      <c r="C150">
        <v>1</v>
      </c>
      <c r="D150" t="s">
        <v>21</v>
      </c>
      <c r="E150">
        <v>2014</v>
      </c>
      <c r="F150" t="s">
        <v>235</v>
      </c>
      <c r="H150" s="7" t="e">
        <f t="shared" si="39"/>
        <v>#VALUE!</v>
      </c>
      <c r="I150" s="7" t="e">
        <f t="shared" si="40"/>
        <v>#VALUE!</v>
      </c>
      <c r="K150" t="s">
        <v>100</v>
      </c>
      <c r="M150" s="3" t="s">
        <v>236</v>
      </c>
      <c r="N150" t="s">
        <v>89</v>
      </c>
      <c r="O150" t="s">
        <v>81</v>
      </c>
    </row>
    <row r="151" spans="1:15" x14ac:dyDescent="0.3">
      <c r="A151" s="7" t="str">
        <f t="shared" si="38"/>
        <v>2014_03_01</v>
      </c>
      <c r="B151">
        <v>3</v>
      </c>
      <c r="C151">
        <v>1</v>
      </c>
      <c r="D151" t="s">
        <v>15</v>
      </c>
      <c r="E151">
        <v>2014</v>
      </c>
      <c r="F151" t="s">
        <v>233</v>
      </c>
      <c r="H151" s="7" t="e">
        <f t="shared" si="39"/>
        <v>#VALUE!</v>
      </c>
      <c r="I151" s="7" t="e">
        <f t="shared" si="40"/>
        <v>#VALUE!</v>
      </c>
      <c r="K151" t="s">
        <v>100</v>
      </c>
      <c r="M151" s="3" t="s">
        <v>234</v>
      </c>
      <c r="N151" t="s">
        <v>89</v>
      </c>
      <c r="O151" t="s">
        <v>81</v>
      </c>
    </row>
    <row r="152" spans="1:15" x14ac:dyDescent="0.3">
      <c r="A152" s="7" t="str">
        <f t="shared" si="38"/>
        <v>2014_02_01</v>
      </c>
      <c r="B152">
        <v>2</v>
      </c>
      <c r="C152">
        <v>1</v>
      </c>
      <c r="D152" t="s">
        <v>10</v>
      </c>
      <c r="E152">
        <v>2014</v>
      </c>
      <c r="F152" t="s">
        <v>231</v>
      </c>
      <c r="H152" s="7" t="e">
        <f t="shared" si="39"/>
        <v>#VALUE!</v>
      </c>
      <c r="I152" s="7" t="e">
        <f t="shared" si="40"/>
        <v>#VALUE!</v>
      </c>
      <c r="K152" t="s">
        <v>100</v>
      </c>
      <c r="M152" s="3" t="s">
        <v>232</v>
      </c>
      <c r="N152" t="s">
        <v>89</v>
      </c>
      <c r="O152" t="s">
        <v>81</v>
      </c>
    </row>
    <row r="153" spans="1:15" x14ac:dyDescent="0.3">
      <c r="A153" s="7" t="str">
        <f t="shared" si="38"/>
        <v>2014_01_01</v>
      </c>
      <c r="B153">
        <v>1</v>
      </c>
      <c r="C153">
        <v>1</v>
      </c>
      <c r="D153" t="s">
        <v>6</v>
      </c>
      <c r="E153">
        <v>2014</v>
      </c>
      <c r="F153" t="s">
        <v>229</v>
      </c>
      <c r="H153" s="7" t="e">
        <f t="shared" si="39"/>
        <v>#VALUE!</v>
      </c>
      <c r="I153" s="7" t="e">
        <f t="shared" si="40"/>
        <v>#VALUE!</v>
      </c>
      <c r="K153" t="s">
        <v>100</v>
      </c>
      <c r="M153" s="3" t="s">
        <v>230</v>
      </c>
      <c r="N153" t="s">
        <v>89</v>
      </c>
      <c r="O153" t="s">
        <v>81</v>
      </c>
    </row>
    <row r="154" spans="1:15" x14ac:dyDescent="0.3">
      <c r="A154" s="7" t="str">
        <f t="shared" si="38"/>
        <v>2013_12_01</v>
      </c>
      <c r="B154">
        <v>12</v>
      </c>
      <c r="C154">
        <v>1</v>
      </c>
      <c r="D154" t="s">
        <v>139</v>
      </c>
      <c r="E154">
        <v>2013</v>
      </c>
      <c r="F154" t="s">
        <v>227</v>
      </c>
      <c r="H154" s="7" t="e">
        <f t="shared" si="39"/>
        <v>#VALUE!</v>
      </c>
      <c r="I154" s="7" t="e">
        <f t="shared" si="40"/>
        <v>#VALUE!</v>
      </c>
      <c r="K154" t="s">
        <v>100</v>
      </c>
      <c r="M154" s="3" t="s">
        <v>228</v>
      </c>
      <c r="N154" t="s">
        <v>89</v>
      </c>
      <c r="O154" t="s">
        <v>81</v>
      </c>
    </row>
    <row r="155" spans="1:15" x14ac:dyDescent="0.3">
      <c r="A155" s="7" t="str">
        <f t="shared" si="38"/>
        <v>2013_11_01</v>
      </c>
      <c r="B155">
        <v>11</v>
      </c>
      <c r="C155">
        <v>1</v>
      </c>
      <c r="D155" t="s">
        <v>57</v>
      </c>
      <c r="E155">
        <v>2013</v>
      </c>
      <c r="F155" t="s">
        <v>225</v>
      </c>
      <c r="H155" s="7" t="e">
        <f t="shared" si="39"/>
        <v>#VALUE!</v>
      </c>
      <c r="I155" s="7" t="e">
        <f t="shared" si="40"/>
        <v>#VALUE!</v>
      </c>
      <c r="K155" t="s">
        <v>100</v>
      </c>
      <c r="M155" s="3" t="s">
        <v>226</v>
      </c>
      <c r="N155" t="s">
        <v>89</v>
      </c>
      <c r="O155" t="s">
        <v>81</v>
      </c>
    </row>
    <row r="156" spans="1:15" x14ac:dyDescent="0.3">
      <c r="A156" s="7" t="str">
        <f t="shared" si="38"/>
        <v>2013_10_01</v>
      </c>
      <c r="B156">
        <v>10</v>
      </c>
      <c r="C156">
        <v>1</v>
      </c>
      <c r="D156" t="s">
        <v>47</v>
      </c>
      <c r="E156">
        <v>2013</v>
      </c>
      <c r="F156" t="s">
        <v>223</v>
      </c>
      <c r="H156" s="7" t="e">
        <f t="shared" si="39"/>
        <v>#VALUE!</v>
      </c>
      <c r="I156" s="7" t="e">
        <f t="shared" si="40"/>
        <v>#VALUE!</v>
      </c>
      <c r="K156" t="s">
        <v>100</v>
      </c>
      <c r="M156" s="3" t="s">
        <v>224</v>
      </c>
      <c r="N156" t="s">
        <v>89</v>
      </c>
      <c r="O156" t="s">
        <v>81</v>
      </c>
    </row>
    <row r="157" spans="1:15" x14ac:dyDescent="0.3">
      <c r="A157" s="7" t="str">
        <f t="shared" si="38"/>
        <v>2013_09_01</v>
      </c>
      <c r="B157">
        <v>9</v>
      </c>
      <c r="C157">
        <v>1</v>
      </c>
      <c r="D157" t="s">
        <v>154</v>
      </c>
      <c r="E157">
        <v>2013</v>
      </c>
      <c r="F157" t="s">
        <v>221</v>
      </c>
      <c r="H157" s="7" t="e">
        <f t="shared" si="39"/>
        <v>#VALUE!</v>
      </c>
      <c r="I157" s="7" t="e">
        <f t="shared" si="40"/>
        <v>#VALUE!</v>
      </c>
      <c r="K157" t="s">
        <v>100</v>
      </c>
      <c r="M157" s="3" t="s">
        <v>222</v>
      </c>
      <c r="N157" t="s">
        <v>89</v>
      </c>
      <c r="O157" t="s">
        <v>81</v>
      </c>
    </row>
    <row r="158" spans="1:15" x14ac:dyDescent="0.3">
      <c r="A158" s="7" t="str">
        <f t="shared" si="38"/>
        <v>2013_07_01</v>
      </c>
      <c r="B158">
        <v>7</v>
      </c>
      <c r="C158">
        <v>1</v>
      </c>
      <c r="D158" t="s">
        <v>37</v>
      </c>
      <c r="E158">
        <v>2013</v>
      </c>
      <c r="F158" t="s">
        <v>219</v>
      </c>
      <c r="H158" s="7" t="e">
        <f t="shared" si="39"/>
        <v>#VALUE!</v>
      </c>
      <c r="I158" s="7" t="e">
        <f t="shared" si="40"/>
        <v>#VALUE!</v>
      </c>
      <c r="K158" t="s">
        <v>100</v>
      </c>
      <c r="M158" s="3" t="s">
        <v>220</v>
      </c>
      <c r="N158" t="s">
        <v>89</v>
      </c>
      <c r="O158" t="s">
        <v>81</v>
      </c>
    </row>
    <row r="159" spans="1:15" x14ac:dyDescent="0.3">
      <c r="A159" s="7" t="str">
        <f t="shared" si="38"/>
        <v>2013_06_01</v>
      </c>
      <c r="B159">
        <v>6</v>
      </c>
      <c r="C159">
        <v>1</v>
      </c>
      <c r="D159" t="s">
        <v>32</v>
      </c>
      <c r="E159">
        <v>2013</v>
      </c>
      <c r="F159" t="s">
        <v>217</v>
      </c>
      <c r="H159" s="7" t="e">
        <f t="shared" si="39"/>
        <v>#VALUE!</v>
      </c>
      <c r="I159" s="7" t="e">
        <f t="shared" si="40"/>
        <v>#VALUE!</v>
      </c>
      <c r="K159" t="s">
        <v>100</v>
      </c>
      <c r="M159" s="3" t="s">
        <v>218</v>
      </c>
      <c r="N159" t="s">
        <v>89</v>
      </c>
      <c r="O159" t="s">
        <v>81</v>
      </c>
    </row>
    <row r="160" spans="1:15" x14ac:dyDescent="0.3">
      <c r="A160" s="7" t="str">
        <f t="shared" si="38"/>
        <v>2013_05_01</v>
      </c>
      <c r="B160">
        <v>5</v>
      </c>
      <c r="C160">
        <v>1</v>
      </c>
      <c r="D160" t="s">
        <v>27</v>
      </c>
      <c r="E160">
        <v>2013</v>
      </c>
      <c r="F160" t="s">
        <v>215</v>
      </c>
      <c r="H160" s="7" t="e">
        <f t="shared" si="39"/>
        <v>#VALUE!</v>
      </c>
      <c r="I160" s="7" t="e">
        <f t="shared" si="40"/>
        <v>#VALUE!</v>
      </c>
      <c r="K160" t="s">
        <v>100</v>
      </c>
      <c r="M160" s="3" t="s">
        <v>216</v>
      </c>
      <c r="N160" t="s">
        <v>90</v>
      </c>
      <c r="O160" t="s">
        <v>81</v>
      </c>
    </row>
    <row r="161" spans="1:15" x14ac:dyDescent="0.3">
      <c r="A161" s="7" t="str">
        <f t="shared" si="38"/>
        <v>2013_04_01</v>
      </c>
      <c r="B161">
        <v>4</v>
      </c>
      <c r="C161">
        <v>1</v>
      </c>
      <c r="D161" t="s">
        <v>21</v>
      </c>
      <c r="E161">
        <v>2013</v>
      </c>
      <c r="F161" t="s">
        <v>213</v>
      </c>
      <c r="H161" s="7" t="e">
        <f t="shared" si="39"/>
        <v>#VALUE!</v>
      </c>
      <c r="I161" s="7" t="e">
        <f t="shared" si="40"/>
        <v>#VALUE!</v>
      </c>
      <c r="K161" t="s">
        <v>100</v>
      </c>
      <c r="M161" s="3" t="s">
        <v>214</v>
      </c>
      <c r="N161" t="s">
        <v>89</v>
      </c>
      <c r="O161" t="s">
        <v>81</v>
      </c>
    </row>
    <row r="162" spans="1:15" x14ac:dyDescent="0.3">
      <c r="A162" s="7" t="str">
        <f t="shared" si="38"/>
        <v>2013_03_01</v>
      </c>
      <c r="B162">
        <v>3</v>
      </c>
      <c r="C162">
        <v>1</v>
      </c>
      <c r="D162" t="s">
        <v>15</v>
      </c>
      <c r="E162">
        <v>2013</v>
      </c>
      <c r="F162" t="s">
        <v>211</v>
      </c>
      <c r="H162" s="7" t="e">
        <f t="shared" si="39"/>
        <v>#VALUE!</v>
      </c>
      <c r="I162" s="7" t="e">
        <f t="shared" si="40"/>
        <v>#VALUE!</v>
      </c>
      <c r="K162" t="s">
        <v>100</v>
      </c>
      <c r="M162" s="3" t="s">
        <v>212</v>
      </c>
      <c r="N162" t="s">
        <v>92</v>
      </c>
      <c r="O162" t="s">
        <v>81</v>
      </c>
    </row>
    <row r="163" spans="1:15" x14ac:dyDescent="0.3">
      <c r="A163" s="7" t="str">
        <f t="shared" si="38"/>
        <v>2013_02_01</v>
      </c>
      <c r="B163">
        <v>2</v>
      </c>
      <c r="C163">
        <v>1</v>
      </c>
      <c r="D163" t="s">
        <v>10</v>
      </c>
      <c r="E163">
        <v>2013</v>
      </c>
      <c r="F163" t="s">
        <v>209</v>
      </c>
      <c r="H163" s="7" t="e">
        <f t="shared" si="39"/>
        <v>#VALUE!</v>
      </c>
      <c r="I163" s="7" t="e">
        <f t="shared" si="40"/>
        <v>#VALUE!</v>
      </c>
      <c r="K163" t="s">
        <v>100</v>
      </c>
      <c r="M163" s="3" t="s">
        <v>210</v>
      </c>
      <c r="N163" t="s">
        <v>89</v>
      </c>
      <c r="O163" t="s">
        <v>81</v>
      </c>
    </row>
    <row r="164" spans="1:15" x14ac:dyDescent="0.3">
      <c r="A164" s="7" t="str">
        <f t="shared" si="38"/>
        <v>2013_01_01</v>
      </c>
      <c r="B164">
        <v>1</v>
      </c>
      <c r="C164">
        <v>1</v>
      </c>
      <c r="D164" t="s">
        <v>6</v>
      </c>
      <c r="E164">
        <v>2013</v>
      </c>
      <c r="F164" t="s">
        <v>207</v>
      </c>
      <c r="H164" s="7" t="e">
        <f t="shared" si="39"/>
        <v>#VALUE!</v>
      </c>
      <c r="I164" s="7" t="e">
        <f t="shared" si="40"/>
        <v>#VALUE!</v>
      </c>
      <c r="K164" t="s">
        <v>100</v>
      </c>
      <c r="M164" s="3" t="s">
        <v>208</v>
      </c>
      <c r="N164" t="s">
        <v>89</v>
      </c>
      <c r="O164" t="s">
        <v>81</v>
      </c>
    </row>
    <row r="165" spans="1:15" x14ac:dyDescent="0.3">
      <c r="A165" s="7" t="str">
        <f t="shared" si="38"/>
        <v>2012_12_01</v>
      </c>
      <c r="B165">
        <v>12</v>
      </c>
      <c r="C165">
        <v>1</v>
      </c>
      <c r="D165" t="s">
        <v>139</v>
      </c>
      <c r="E165">
        <v>2012</v>
      </c>
      <c r="F165" t="s">
        <v>205</v>
      </c>
      <c r="H165" s="7" t="e">
        <f t="shared" si="39"/>
        <v>#VALUE!</v>
      </c>
      <c r="I165" s="7" t="e">
        <f t="shared" si="40"/>
        <v>#VALUE!</v>
      </c>
      <c r="K165" t="s">
        <v>100</v>
      </c>
      <c r="M165" s="3" t="s">
        <v>206</v>
      </c>
      <c r="N165" t="s">
        <v>90</v>
      </c>
      <c r="O165" t="s">
        <v>81</v>
      </c>
    </row>
    <row r="166" spans="1:15" x14ac:dyDescent="0.3">
      <c r="A166" s="7" t="str">
        <f t="shared" si="38"/>
        <v>2012_11_01</v>
      </c>
      <c r="B166">
        <v>11</v>
      </c>
      <c r="C166">
        <v>1</v>
      </c>
      <c r="D166" t="s">
        <v>57</v>
      </c>
      <c r="E166">
        <v>2012</v>
      </c>
      <c r="F166" t="s">
        <v>203</v>
      </c>
      <c r="H166" s="7" t="e">
        <f t="shared" si="39"/>
        <v>#VALUE!</v>
      </c>
      <c r="I166" s="7" t="e">
        <f t="shared" si="40"/>
        <v>#VALUE!</v>
      </c>
      <c r="K166" t="s">
        <v>100</v>
      </c>
      <c r="M166" s="3" t="s">
        <v>204</v>
      </c>
      <c r="N166" t="s">
        <v>89</v>
      </c>
      <c r="O166" t="s">
        <v>81</v>
      </c>
    </row>
    <row r="167" spans="1:15" x14ac:dyDescent="0.3">
      <c r="A167" s="7" t="str">
        <f t="shared" si="38"/>
        <v>2012_10_01</v>
      </c>
      <c r="B167">
        <v>10</v>
      </c>
      <c r="C167">
        <v>1</v>
      </c>
      <c r="D167" t="s">
        <v>47</v>
      </c>
      <c r="E167">
        <v>2012</v>
      </c>
      <c r="F167" t="s">
        <v>201</v>
      </c>
      <c r="H167" s="7" t="e">
        <f t="shared" si="39"/>
        <v>#VALUE!</v>
      </c>
      <c r="I167" s="7" t="e">
        <f t="shared" si="40"/>
        <v>#VALUE!</v>
      </c>
      <c r="K167" t="s">
        <v>100</v>
      </c>
      <c r="M167" s="3" t="s">
        <v>202</v>
      </c>
      <c r="N167" t="s">
        <v>89</v>
      </c>
      <c r="O167" t="s">
        <v>81</v>
      </c>
    </row>
    <row r="168" spans="1:15" x14ac:dyDescent="0.3">
      <c r="A168" s="7" t="str">
        <f t="shared" si="38"/>
        <v>2012_09_01</v>
      </c>
      <c r="B168">
        <v>9</v>
      </c>
      <c r="C168">
        <v>1</v>
      </c>
      <c r="D168" t="s">
        <v>154</v>
      </c>
      <c r="E168">
        <v>2012</v>
      </c>
      <c r="F168" t="s">
        <v>199</v>
      </c>
      <c r="H168" s="7" t="e">
        <f t="shared" si="39"/>
        <v>#VALUE!</v>
      </c>
      <c r="I168" s="7" t="e">
        <f t="shared" si="40"/>
        <v>#VALUE!</v>
      </c>
      <c r="K168" t="s">
        <v>100</v>
      </c>
      <c r="M168" s="3" t="s">
        <v>200</v>
      </c>
      <c r="N168" t="s">
        <v>89</v>
      </c>
      <c r="O168" t="s">
        <v>81</v>
      </c>
    </row>
    <row r="169" spans="1:15" x14ac:dyDescent="0.3">
      <c r="A169" s="7" t="str">
        <f t="shared" si="38"/>
        <v>2012_07_01</v>
      </c>
      <c r="B169">
        <v>7</v>
      </c>
      <c r="C169">
        <v>1</v>
      </c>
      <c r="D169" t="s">
        <v>37</v>
      </c>
      <c r="E169">
        <v>2012</v>
      </c>
      <c r="F169" t="s">
        <v>197</v>
      </c>
      <c r="H169" s="7" t="e">
        <f t="shared" si="39"/>
        <v>#VALUE!</v>
      </c>
      <c r="I169" s="7" t="e">
        <f t="shared" si="40"/>
        <v>#VALUE!</v>
      </c>
      <c r="K169" t="s">
        <v>100</v>
      </c>
      <c r="M169" s="3" t="s">
        <v>198</v>
      </c>
      <c r="N169" t="s">
        <v>89</v>
      </c>
      <c r="O169" t="s">
        <v>81</v>
      </c>
    </row>
    <row r="170" spans="1:15" x14ac:dyDescent="0.3">
      <c r="A170" s="7" t="str">
        <f t="shared" si="38"/>
        <v>2012_06_01</v>
      </c>
      <c r="B170">
        <v>6</v>
      </c>
      <c r="C170">
        <v>1</v>
      </c>
      <c r="D170" t="s">
        <v>32</v>
      </c>
      <c r="E170">
        <v>2012</v>
      </c>
      <c r="F170" t="s">
        <v>195</v>
      </c>
      <c r="H170" s="7" t="e">
        <f t="shared" si="39"/>
        <v>#VALUE!</v>
      </c>
      <c r="I170" s="7" t="e">
        <f t="shared" si="40"/>
        <v>#VALUE!</v>
      </c>
      <c r="K170" t="s">
        <v>100</v>
      </c>
      <c r="M170" s="3" t="s">
        <v>196</v>
      </c>
      <c r="N170" t="s">
        <v>89</v>
      </c>
      <c r="O170" t="s">
        <v>81</v>
      </c>
    </row>
    <row r="171" spans="1:15" x14ac:dyDescent="0.3">
      <c r="A171" s="7" t="str">
        <f t="shared" si="38"/>
        <v>2012_05_01</v>
      </c>
      <c r="B171">
        <v>5</v>
      </c>
      <c r="C171">
        <v>1</v>
      </c>
      <c r="D171" t="s">
        <v>27</v>
      </c>
      <c r="E171">
        <v>2012</v>
      </c>
      <c r="F171" t="s">
        <v>193</v>
      </c>
      <c r="H171" s="7" t="e">
        <f t="shared" si="39"/>
        <v>#VALUE!</v>
      </c>
      <c r="I171" s="7" t="e">
        <f t="shared" si="40"/>
        <v>#VALUE!</v>
      </c>
      <c r="K171" t="s">
        <v>100</v>
      </c>
      <c r="M171" s="3" t="s">
        <v>194</v>
      </c>
      <c r="N171" t="s">
        <v>89</v>
      </c>
      <c r="O171" t="s">
        <v>81</v>
      </c>
    </row>
    <row r="172" spans="1:15" x14ac:dyDescent="0.3">
      <c r="A172" s="7" t="str">
        <f t="shared" si="38"/>
        <v>2012_04_01</v>
      </c>
      <c r="B172">
        <v>4</v>
      </c>
      <c r="C172">
        <v>1</v>
      </c>
      <c r="D172" t="s">
        <v>21</v>
      </c>
      <c r="E172">
        <v>2012</v>
      </c>
      <c r="F172" t="s">
        <v>191</v>
      </c>
      <c r="H172" s="7" t="e">
        <f t="shared" si="39"/>
        <v>#VALUE!</v>
      </c>
      <c r="I172" s="7" t="e">
        <f t="shared" si="40"/>
        <v>#VALUE!</v>
      </c>
      <c r="K172" t="s">
        <v>100</v>
      </c>
      <c r="M172" s="3" t="s">
        <v>192</v>
      </c>
      <c r="N172" t="s">
        <v>89</v>
      </c>
      <c r="O172" t="s">
        <v>81</v>
      </c>
    </row>
    <row r="173" spans="1:15" x14ac:dyDescent="0.3">
      <c r="A173" s="7" t="str">
        <f t="shared" si="38"/>
        <v>2012_03_01</v>
      </c>
      <c r="B173">
        <v>3</v>
      </c>
      <c r="C173">
        <v>1</v>
      </c>
      <c r="D173" t="s">
        <v>15</v>
      </c>
      <c r="E173">
        <v>2012</v>
      </c>
      <c r="F173" t="s">
        <v>189</v>
      </c>
      <c r="H173" s="7" t="e">
        <f t="shared" si="39"/>
        <v>#VALUE!</v>
      </c>
      <c r="I173" s="7" t="e">
        <f t="shared" si="40"/>
        <v>#VALUE!</v>
      </c>
      <c r="K173" t="s">
        <v>100</v>
      </c>
      <c r="M173" s="3" t="s">
        <v>190</v>
      </c>
      <c r="N173" t="s">
        <v>92</v>
      </c>
      <c r="O173" t="s">
        <v>81</v>
      </c>
    </row>
    <row r="174" spans="1:15" x14ac:dyDescent="0.3">
      <c r="A174" s="7" t="str">
        <f t="shared" si="38"/>
        <v>2012_02_01</v>
      </c>
      <c r="B174">
        <v>2</v>
      </c>
      <c r="C174">
        <v>1</v>
      </c>
      <c r="D174" t="s">
        <v>10</v>
      </c>
      <c r="E174">
        <v>2012</v>
      </c>
      <c r="F174" t="s">
        <v>187</v>
      </c>
      <c r="H174" s="7" t="e">
        <f t="shared" si="39"/>
        <v>#VALUE!</v>
      </c>
      <c r="I174" s="7" t="e">
        <f t="shared" si="40"/>
        <v>#VALUE!</v>
      </c>
      <c r="K174" t="s">
        <v>100</v>
      </c>
      <c r="M174" s="3" t="s">
        <v>188</v>
      </c>
      <c r="N174" t="s">
        <v>89</v>
      </c>
      <c r="O174" t="s">
        <v>81</v>
      </c>
    </row>
    <row r="175" spans="1:15" x14ac:dyDescent="0.3">
      <c r="A175" s="7" t="str">
        <f t="shared" si="38"/>
        <v>2012_01_01</v>
      </c>
      <c r="B175">
        <v>1</v>
      </c>
      <c r="C175">
        <v>1</v>
      </c>
      <c r="D175" t="s">
        <v>6</v>
      </c>
      <c r="E175">
        <v>2012</v>
      </c>
      <c r="F175" t="s">
        <v>185</v>
      </c>
      <c r="H175" s="7" t="e">
        <f t="shared" si="39"/>
        <v>#VALUE!</v>
      </c>
      <c r="I175" s="7" t="e">
        <f t="shared" si="40"/>
        <v>#VALUE!</v>
      </c>
      <c r="K175" t="s">
        <v>100</v>
      </c>
      <c r="M175" s="3" t="s">
        <v>186</v>
      </c>
      <c r="N175" t="s">
        <v>89</v>
      </c>
      <c r="O175" t="s">
        <v>81</v>
      </c>
    </row>
    <row r="176" spans="1:15" x14ac:dyDescent="0.3">
      <c r="A176" s="7" t="str">
        <f t="shared" ref="A176:A207" si="41">CONCATENATE(E176,"_",TEXT(B176,"00"),"_",TEXT(C176,"00"))</f>
        <v>2011_12_01</v>
      </c>
      <c r="B176">
        <v>12</v>
      </c>
      <c r="C176">
        <v>1</v>
      </c>
      <c r="D176" t="s">
        <v>139</v>
      </c>
      <c r="E176">
        <v>2011</v>
      </c>
      <c r="F176" t="s">
        <v>183</v>
      </c>
      <c r="H176" s="7" t="e">
        <f t="shared" ref="H176:H207" si="42">MID(J176,FIND("@",J176)+1,FIND(",",J176,FIND("@",J176))-FIND("@",J176)-1)</f>
        <v>#VALUE!</v>
      </c>
      <c r="I176" s="7" t="e">
        <f t="shared" ref="I176:I207" si="43">VALUE(SUBSTITUTE(MID(J176,FIND(",",J176,FIND("@",J176))+1,FIND(",",J176,FIND(",",J176,FIND("@",J176))+1)-FIND(",",J176,FIND("@",J176))-1),".",","))</f>
        <v>#VALUE!</v>
      </c>
      <c r="K176" t="s">
        <v>100</v>
      </c>
      <c r="M176" s="3" t="s">
        <v>184</v>
      </c>
      <c r="N176" t="s">
        <v>89</v>
      </c>
      <c r="O176" t="s">
        <v>81</v>
      </c>
    </row>
    <row r="177" spans="1:15" x14ac:dyDescent="0.3">
      <c r="A177" s="7" t="str">
        <f t="shared" si="41"/>
        <v>2011_11_01</v>
      </c>
      <c r="B177">
        <v>11</v>
      </c>
      <c r="C177">
        <v>1</v>
      </c>
      <c r="D177" t="s">
        <v>57</v>
      </c>
      <c r="E177">
        <v>2011</v>
      </c>
      <c r="F177" t="s">
        <v>181</v>
      </c>
      <c r="H177" s="7" t="e">
        <f t="shared" si="42"/>
        <v>#VALUE!</v>
      </c>
      <c r="I177" s="7" t="e">
        <f t="shared" si="43"/>
        <v>#VALUE!</v>
      </c>
      <c r="K177" t="s">
        <v>100</v>
      </c>
      <c r="M177" s="3" t="s">
        <v>182</v>
      </c>
      <c r="N177" t="s">
        <v>89</v>
      </c>
      <c r="O177" t="s">
        <v>81</v>
      </c>
    </row>
    <row r="178" spans="1:15" x14ac:dyDescent="0.3">
      <c r="A178" s="7" t="str">
        <f t="shared" si="41"/>
        <v>2011_10_01</v>
      </c>
      <c r="B178">
        <v>10</v>
      </c>
      <c r="C178">
        <v>1</v>
      </c>
      <c r="D178" t="s">
        <v>47</v>
      </c>
      <c r="E178">
        <v>2011</v>
      </c>
      <c r="F178" t="s">
        <v>179</v>
      </c>
      <c r="H178" s="7" t="e">
        <f t="shared" si="42"/>
        <v>#VALUE!</v>
      </c>
      <c r="I178" s="7" t="e">
        <f t="shared" si="43"/>
        <v>#VALUE!</v>
      </c>
      <c r="K178" t="s">
        <v>100</v>
      </c>
      <c r="M178" s="3" t="s">
        <v>180</v>
      </c>
      <c r="N178" t="s">
        <v>89</v>
      </c>
      <c r="O178" t="s">
        <v>81</v>
      </c>
    </row>
    <row r="179" spans="1:15" x14ac:dyDescent="0.3">
      <c r="A179" s="7" t="str">
        <f t="shared" si="41"/>
        <v>2011_09_01</v>
      </c>
      <c r="B179">
        <v>9</v>
      </c>
      <c r="C179">
        <v>1</v>
      </c>
      <c r="D179" t="s">
        <v>154</v>
      </c>
      <c r="E179">
        <v>2011</v>
      </c>
      <c r="F179" t="s">
        <v>177</v>
      </c>
      <c r="H179" s="7" t="e">
        <f t="shared" si="42"/>
        <v>#VALUE!</v>
      </c>
      <c r="I179" s="7" t="e">
        <f t="shared" si="43"/>
        <v>#VALUE!</v>
      </c>
      <c r="K179" t="s">
        <v>100</v>
      </c>
      <c r="M179" s="3" t="s">
        <v>178</v>
      </c>
      <c r="N179" t="s">
        <v>92</v>
      </c>
      <c r="O179" t="s">
        <v>81</v>
      </c>
    </row>
    <row r="180" spans="1:15" x14ac:dyDescent="0.3">
      <c r="A180" s="7" t="str">
        <f t="shared" si="41"/>
        <v>2011_07_01</v>
      </c>
      <c r="B180">
        <v>7</v>
      </c>
      <c r="C180">
        <v>1</v>
      </c>
      <c r="D180" t="s">
        <v>37</v>
      </c>
      <c r="E180">
        <v>2011</v>
      </c>
      <c r="F180" t="s">
        <v>173</v>
      </c>
      <c r="H180" s="7" t="e">
        <f t="shared" si="42"/>
        <v>#VALUE!</v>
      </c>
      <c r="I180" s="7" t="e">
        <f t="shared" si="43"/>
        <v>#VALUE!</v>
      </c>
      <c r="K180" t="s">
        <v>100</v>
      </c>
      <c r="M180" s="3" t="s">
        <v>174</v>
      </c>
      <c r="N180" t="s">
        <v>89</v>
      </c>
      <c r="O180" t="s">
        <v>81</v>
      </c>
    </row>
    <row r="181" spans="1:15" x14ac:dyDescent="0.3">
      <c r="A181" s="7" t="str">
        <f t="shared" si="41"/>
        <v>2011_07_01</v>
      </c>
      <c r="B181">
        <v>7</v>
      </c>
      <c r="C181">
        <v>1</v>
      </c>
      <c r="D181" t="s">
        <v>37</v>
      </c>
      <c r="E181">
        <v>2011</v>
      </c>
      <c r="F181" t="s">
        <v>175</v>
      </c>
      <c r="H181" s="7" t="e">
        <f t="shared" si="42"/>
        <v>#VALUE!</v>
      </c>
      <c r="I181" s="7" t="e">
        <f t="shared" si="43"/>
        <v>#VALUE!</v>
      </c>
      <c r="K181" t="s">
        <v>100</v>
      </c>
      <c r="M181" s="3" t="s">
        <v>176</v>
      </c>
      <c r="N181" t="s">
        <v>90</v>
      </c>
      <c r="O181" t="s">
        <v>81</v>
      </c>
    </row>
    <row r="182" spans="1:15" x14ac:dyDescent="0.3">
      <c r="A182" s="7" t="str">
        <f t="shared" si="41"/>
        <v>2011_06_01</v>
      </c>
      <c r="B182">
        <v>6</v>
      </c>
      <c r="C182">
        <v>1</v>
      </c>
      <c r="D182" t="s">
        <v>32</v>
      </c>
      <c r="E182">
        <v>2011</v>
      </c>
      <c r="F182" t="s">
        <v>171</v>
      </c>
      <c r="H182" s="7" t="e">
        <f t="shared" si="42"/>
        <v>#VALUE!</v>
      </c>
      <c r="I182" s="7" t="e">
        <f t="shared" si="43"/>
        <v>#VALUE!</v>
      </c>
      <c r="K182" t="s">
        <v>100</v>
      </c>
      <c r="M182" s="3" t="s">
        <v>172</v>
      </c>
      <c r="N182" t="s">
        <v>89</v>
      </c>
      <c r="O182" t="s">
        <v>81</v>
      </c>
    </row>
    <row r="183" spans="1:15" x14ac:dyDescent="0.3">
      <c r="A183" s="7" t="str">
        <f t="shared" si="41"/>
        <v>2011_05_01</v>
      </c>
      <c r="B183">
        <v>5</v>
      </c>
      <c r="C183">
        <v>1</v>
      </c>
      <c r="D183" t="s">
        <v>27</v>
      </c>
      <c r="E183">
        <v>2011</v>
      </c>
      <c r="F183" t="s">
        <v>169</v>
      </c>
      <c r="H183" s="7" t="e">
        <f t="shared" si="42"/>
        <v>#VALUE!</v>
      </c>
      <c r="I183" s="7" t="e">
        <f t="shared" si="43"/>
        <v>#VALUE!</v>
      </c>
      <c r="K183" t="s">
        <v>100</v>
      </c>
      <c r="M183" s="3" t="s">
        <v>170</v>
      </c>
      <c r="N183" t="s">
        <v>90</v>
      </c>
      <c r="O183" t="s">
        <v>81</v>
      </c>
    </row>
    <row r="184" spans="1:15" x14ac:dyDescent="0.3">
      <c r="A184" s="7" t="str">
        <f t="shared" si="41"/>
        <v>2011_04_01</v>
      </c>
      <c r="B184">
        <v>4</v>
      </c>
      <c r="C184">
        <v>1</v>
      </c>
      <c r="D184" t="s">
        <v>21</v>
      </c>
      <c r="E184">
        <v>2011</v>
      </c>
      <c r="F184" t="s">
        <v>167</v>
      </c>
      <c r="H184" s="7" t="e">
        <f t="shared" si="42"/>
        <v>#VALUE!</v>
      </c>
      <c r="I184" s="7" t="e">
        <f t="shared" si="43"/>
        <v>#VALUE!</v>
      </c>
      <c r="K184" t="s">
        <v>100</v>
      </c>
      <c r="M184" s="3" t="s">
        <v>168</v>
      </c>
      <c r="N184" t="s">
        <v>89</v>
      </c>
      <c r="O184" t="s">
        <v>81</v>
      </c>
    </row>
    <row r="185" spans="1:15" x14ac:dyDescent="0.3">
      <c r="A185" s="7" t="str">
        <f t="shared" si="41"/>
        <v>2011_03_01</v>
      </c>
      <c r="B185">
        <v>3</v>
      </c>
      <c r="C185">
        <v>1</v>
      </c>
      <c r="D185" t="s">
        <v>15</v>
      </c>
      <c r="E185">
        <v>2011</v>
      </c>
      <c r="F185" t="s">
        <v>165</v>
      </c>
      <c r="H185" s="7" t="e">
        <f t="shared" si="42"/>
        <v>#VALUE!</v>
      </c>
      <c r="I185" s="7" t="e">
        <f t="shared" si="43"/>
        <v>#VALUE!</v>
      </c>
      <c r="K185" t="s">
        <v>100</v>
      </c>
      <c r="M185" s="3" t="s">
        <v>166</v>
      </c>
      <c r="N185" t="s">
        <v>89</v>
      </c>
      <c r="O185" t="s">
        <v>81</v>
      </c>
    </row>
    <row r="186" spans="1:15" x14ac:dyDescent="0.3">
      <c r="A186" s="7" t="str">
        <f t="shared" si="41"/>
        <v>2011_02_01</v>
      </c>
      <c r="B186">
        <v>2</v>
      </c>
      <c r="C186">
        <v>1</v>
      </c>
      <c r="D186" t="s">
        <v>10</v>
      </c>
      <c r="E186">
        <v>2011</v>
      </c>
      <c r="F186" t="s">
        <v>110</v>
      </c>
      <c r="H186" s="7" t="e">
        <f t="shared" si="42"/>
        <v>#VALUE!</v>
      </c>
      <c r="I186" s="7" t="e">
        <f t="shared" si="43"/>
        <v>#VALUE!</v>
      </c>
      <c r="K186" t="s">
        <v>100</v>
      </c>
      <c r="M186" s="3" t="s">
        <v>111</v>
      </c>
      <c r="N186" t="s">
        <v>89</v>
      </c>
      <c r="O186" t="s">
        <v>81</v>
      </c>
    </row>
    <row r="187" spans="1:15" x14ac:dyDescent="0.3">
      <c r="A187" s="7" t="str">
        <f t="shared" si="41"/>
        <v>2011_01_01</v>
      </c>
      <c r="B187">
        <v>1</v>
      </c>
      <c r="C187">
        <v>1</v>
      </c>
      <c r="D187" t="s">
        <v>6</v>
      </c>
      <c r="E187">
        <v>2011</v>
      </c>
      <c r="F187" t="s">
        <v>163</v>
      </c>
      <c r="H187" s="7" t="e">
        <f t="shared" si="42"/>
        <v>#VALUE!</v>
      </c>
      <c r="I187" s="7" t="e">
        <f t="shared" si="43"/>
        <v>#VALUE!</v>
      </c>
      <c r="K187" t="s">
        <v>100</v>
      </c>
      <c r="M187" s="3" t="s">
        <v>164</v>
      </c>
      <c r="N187" t="s">
        <v>89</v>
      </c>
      <c r="O187" t="s">
        <v>81</v>
      </c>
    </row>
    <row r="188" spans="1:15" x14ac:dyDescent="0.3">
      <c r="A188" s="7" t="str">
        <f t="shared" si="41"/>
        <v>2010_12_01</v>
      </c>
      <c r="B188">
        <v>12</v>
      </c>
      <c r="C188">
        <v>1</v>
      </c>
      <c r="D188" t="s">
        <v>139</v>
      </c>
      <c r="E188">
        <v>2010</v>
      </c>
      <c r="F188" t="s">
        <v>161</v>
      </c>
      <c r="H188" s="7" t="e">
        <f t="shared" si="42"/>
        <v>#VALUE!</v>
      </c>
      <c r="I188" s="7" t="e">
        <f t="shared" si="43"/>
        <v>#VALUE!</v>
      </c>
      <c r="K188" t="s">
        <v>100</v>
      </c>
      <c r="M188" s="3" t="s">
        <v>162</v>
      </c>
      <c r="N188" t="s">
        <v>89</v>
      </c>
      <c r="O188" t="s">
        <v>81</v>
      </c>
    </row>
    <row r="189" spans="1:15" x14ac:dyDescent="0.3">
      <c r="A189" s="7" t="str">
        <f t="shared" si="41"/>
        <v>2010_11_01</v>
      </c>
      <c r="B189">
        <v>11</v>
      </c>
      <c r="C189">
        <v>1</v>
      </c>
      <c r="D189" t="s">
        <v>57</v>
      </c>
      <c r="E189">
        <v>2010</v>
      </c>
      <c r="F189" t="s">
        <v>159</v>
      </c>
      <c r="H189" s="7" t="e">
        <f t="shared" si="42"/>
        <v>#VALUE!</v>
      </c>
      <c r="I189" s="7" t="e">
        <f t="shared" si="43"/>
        <v>#VALUE!</v>
      </c>
      <c r="K189" t="s">
        <v>100</v>
      </c>
      <c r="M189" s="3" t="s">
        <v>160</v>
      </c>
      <c r="N189" t="s">
        <v>89</v>
      </c>
      <c r="O189" t="s">
        <v>81</v>
      </c>
    </row>
    <row r="190" spans="1:15" x14ac:dyDescent="0.3">
      <c r="A190" s="7" t="str">
        <f t="shared" si="41"/>
        <v>2010_10_01</v>
      </c>
      <c r="B190">
        <v>10</v>
      </c>
      <c r="C190">
        <v>1</v>
      </c>
      <c r="D190" t="s">
        <v>47</v>
      </c>
      <c r="E190">
        <v>2010</v>
      </c>
      <c r="F190" t="s">
        <v>157</v>
      </c>
      <c r="H190" s="7" t="e">
        <f t="shared" si="42"/>
        <v>#VALUE!</v>
      </c>
      <c r="I190" s="7" t="e">
        <f t="shared" si="43"/>
        <v>#VALUE!</v>
      </c>
      <c r="K190" t="s">
        <v>100</v>
      </c>
      <c r="M190" s="3" t="s">
        <v>158</v>
      </c>
      <c r="N190" t="s">
        <v>89</v>
      </c>
      <c r="O190" t="s">
        <v>81</v>
      </c>
    </row>
    <row r="191" spans="1:15" x14ac:dyDescent="0.3">
      <c r="A191" s="7" t="str">
        <f t="shared" si="41"/>
        <v>2010_09_01</v>
      </c>
      <c r="B191">
        <v>9</v>
      </c>
      <c r="C191">
        <v>1</v>
      </c>
      <c r="D191" t="s">
        <v>154</v>
      </c>
      <c r="E191">
        <v>2010</v>
      </c>
      <c r="F191" t="s">
        <v>155</v>
      </c>
      <c r="H191" s="7" t="e">
        <f t="shared" si="42"/>
        <v>#VALUE!</v>
      </c>
      <c r="I191" s="7" t="e">
        <f t="shared" si="43"/>
        <v>#VALUE!</v>
      </c>
      <c r="K191" t="s">
        <v>100</v>
      </c>
      <c r="M191" s="3" t="s">
        <v>156</v>
      </c>
      <c r="N191" t="s">
        <v>89</v>
      </c>
      <c r="O191" t="s">
        <v>81</v>
      </c>
    </row>
    <row r="192" spans="1:15" x14ac:dyDescent="0.3">
      <c r="A192" s="7" t="str">
        <f t="shared" si="41"/>
        <v>2010_06_01</v>
      </c>
      <c r="B192">
        <v>6</v>
      </c>
      <c r="C192">
        <v>1</v>
      </c>
      <c r="D192" t="s">
        <v>32</v>
      </c>
      <c r="E192">
        <v>2010</v>
      </c>
      <c r="F192" t="s">
        <v>152</v>
      </c>
      <c r="H192" s="7" t="e">
        <f t="shared" si="42"/>
        <v>#VALUE!</v>
      </c>
      <c r="I192" s="7" t="e">
        <f t="shared" si="43"/>
        <v>#VALUE!</v>
      </c>
      <c r="K192" t="s">
        <v>100</v>
      </c>
      <c r="M192" s="3" t="s">
        <v>153</v>
      </c>
      <c r="N192" t="s">
        <v>89</v>
      </c>
      <c r="O192" t="s">
        <v>81</v>
      </c>
    </row>
    <row r="193" spans="1:15" x14ac:dyDescent="0.3">
      <c r="A193" s="7" t="str">
        <f t="shared" si="41"/>
        <v>2010_05_01</v>
      </c>
      <c r="B193">
        <v>5</v>
      </c>
      <c r="C193">
        <v>1</v>
      </c>
      <c r="D193" t="s">
        <v>27</v>
      </c>
      <c r="E193">
        <v>2010</v>
      </c>
      <c r="F193" t="s">
        <v>150</v>
      </c>
      <c r="H193" s="7" t="e">
        <f t="shared" si="42"/>
        <v>#VALUE!</v>
      </c>
      <c r="I193" s="7" t="e">
        <f t="shared" si="43"/>
        <v>#VALUE!</v>
      </c>
      <c r="K193" t="s">
        <v>100</v>
      </c>
      <c r="M193" s="3" t="s">
        <v>151</v>
      </c>
      <c r="N193" t="s">
        <v>89</v>
      </c>
      <c r="O193" t="s">
        <v>81</v>
      </c>
    </row>
    <row r="194" spans="1:15" x14ac:dyDescent="0.3">
      <c r="A194" s="7" t="str">
        <f t="shared" si="41"/>
        <v>2010_04_01</v>
      </c>
      <c r="B194">
        <v>4</v>
      </c>
      <c r="C194">
        <v>1</v>
      </c>
      <c r="D194" t="s">
        <v>21</v>
      </c>
      <c r="E194">
        <v>2010</v>
      </c>
      <c r="F194" t="s">
        <v>148</v>
      </c>
      <c r="H194" s="7" t="e">
        <f t="shared" si="42"/>
        <v>#VALUE!</v>
      </c>
      <c r="I194" s="7" t="e">
        <f t="shared" si="43"/>
        <v>#VALUE!</v>
      </c>
      <c r="K194" t="s">
        <v>100</v>
      </c>
      <c r="M194" s="3" t="s">
        <v>149</v>
      </c>
      <c r="N194" t="s">
        <v>89</v>
      </c>
      <c r="O194" t="s">
        <v>81</v>
      </c>
    </row>
    <row r="195" spans="1:15" x14ac:dyDescent="0.3">
      <c r="A195" s="7" t="str">
        <f t="shared" si="41"/>
        <v>2010_03_01</v>
      </c>
      <c r="B195">
        <v>3</v>
      </c>
      <c r="C195">
        <v>1</v>
      </c>
      <c r="D195" t="s">
        <v>15</v>
      </c>
      <c r="E195">
        <v>2010</v>
      </c>
      <c r="F195" t="s">
        <v>146</v>
      </c>
      <c r="H195" s="7" t="e">
        <f t="shared" si="42"/>
        <v>#VALUE!</v>
      </c>
      <c r="I195" s="7" t="e">
        <f t="shared" si="43"/>
        <v>#VALUE!</v>
      </c>
      <c r="K195" t="s">
        <v>100</v>
      </c>
      <c r="M195" s="3" t="s">
        <v>147</v>
      </c>
      <c r="N195" t="s">
        <v>89</v>
      </c>
      <c r="O195" t="s">
        <v>81</v>
      </c>
    </row>
    <row r="196" spans="1:15" x14ac:dyDescent="0.3">
      <c r="A196" s="7" t="str">
        <f t="shared" si="41"/>
        <v>2010_02_01</v>
      </c>
      <c r="B196">
        <v>2</v>
      </c>
      <c r="C196">
        <v>1</v>
      </c>
      <c r="D196" t="s">
        <v>10</v>
      </c>
      <c r="E196">
        <v>2010</v>
      </c>
      <c r="F196" t="s">
        <v>144</v>
      </c>
      <c r="H196" s="7" t="e">
        <f t="shared" si="42"/>
        <v>#VALUE!</v>
      </c>
      <c r="I196" s="7" t="e">
        <f t="shared" si="43"/>
        <v>#VALUE!</v>
      </c>
      <c r="K196" t="s">
        <v>100</v>
      </c>
      <c r="M196" s="3" t="s">
        <v>145</v>
      </c>
      <c r="N196" t="s">
        <v>89</v>
      </c>
      <c r="O196" t="s">
        <v>81</v>
      </c>
    </row>
    <row r="197" spans="1:15" x14ac:dyDescent="0.3">
      <c r="A197" s="7" t="str">
        <f t="shared" si="41"/>
        <v>2010_01_01</v>
      </c>
      <c r="B197">
        <v>1</v>
      </c>
      <c r="C197">
        <v>1</v>
      </c>
      <c r="D197" t="s">
        <v>6</v>
      </c>
      <c r="E197">
        <v>2010</v>
      </c>
      <c r="F197" t="s">
        <v>142</v>
      </c>
      <c r="H197" s="7" t="e">
        <f t="shared" si="42"/>
        <v>#VALUE!</v>
      </c>
      <c r="I197" s="7" t="e">
        <f t="shared" si="43"/>
        <v>#VALUE!</v>
      </c>
      <c r="K197" t="s">
        <v>100</v>
      </c>
      <c r="M197" s="3" t="s">
        <v>143</v>
      </c>
      <c r="N197" t="s">
        <v>89</v>
      </c>
      <c r="O197" t="s">
        <v>81</v>
      </c>
    </row>
    <row r="198" spans="1:15" x14ac:dyDescent="0.3">
      <c r="A198" s="7" t="str">
        <f t="shared" si="41"/>
        <v>2009_12_01</v>
      </c>
      <c r="B198">
        <v>12</v>
      </c>
      <c r="C198">
        <v>1</v>
      </c>
      <c r="D198" t="s">
        <v>139</v>
      </c>
      <c r="E198">
        <v>2009</v>
      </c>
      <c r="F198" t="s">
        <v>140</v>
      </c>
      <c r="H198" s="7" t="e">
        <f t="shared" si="42"/>
        <v>#VALUE!</v>
      </c>
      <c r="I198" s="7" t="e">
        <f t="shared" si="43"/>
        <v>#VALUE!</v>
      </c>
      <c r="K198" t="s">
        <v>100</v>
      </c>
      <c r="M198" s="3" t="s">
        <v>141</v>
      </c>
      <c r="N198" t="s">
        <v>89</v>
      </c>
      <c r="O198" t="s">
        <v>81</v>
      </c>
    </row>
    <row r="199" spans="1:15" x14ac:dyDescent="0.3">
      <c r="A199" s="7" t="str">
        <f t="shared" si="41"/>
        <v>2009_10_01</v>
      </c>
      <c r="B199">
        <v>10</v>
      </c>
      <c r="C199">
        <v>1</v>
      </c>
      <c r="D199" t="s">
        <v>47</v>
      </c>
      <c r="E199">
        <v>2009</v>
      </c>
      <c r="F199" t="s">
        <v>137</v>
      </c>
      <c r="H199" s="7" t="e">
        <f t="shared" si="42"/>
        <v>#VALUE!</v>
      </c>
      <c r="I199" s="7" t="e">
        <f t="shared" si="43"/>
        <v>#VALUE!</v>
      </c>
      <c r="K199" t="s">
        <v>100</v>
      </c>
      <c r="M199" s="3" t="s">
        <v>138</v>
      </c>
      <c r="N199" t="s">
        <v>89</v>
      </c>
      <c r="O199" t="s">
        <v>81</v>
      </c>
    </row>
    <row r="200" spans="1:15" x14ac:dyDescent="0.3">
      <c r="A200" s="7" t="str">
        <f t="shared" si="41"/>
        <v>2009_07_01</v>
      </c>
      <c r="B200">
        <v>7</v>
      </c>
      <c r="C200">
        <v>1</v>
      </c>
      <c r="D200" t="s">
        <v>37</v>
      </c>
      <c r="E200">
        <v>2009</v>
      </c>
      <c r="F200" t="s">
        <v>135</v>
      </c>
      <c r="H200" s="7" t="e">
        <f t="shared" si="42"/>
        <v>#VALUE!</v>
      </c>
      <c r="I200" s="7" t="e">
        <f t="shared" si="43"/>
        <v>#VALUE!</v>
      </c>
      <c r="K200" t="s">
        <v>100</v>
      </c>
      <c r="M200" s="3" t="s">
        <v>136</v>
      </c>
      <c r="N200" t="s">
        <v>89</v>
      </c>
      <c r="O200" t="s">
        <v>81</v>
      </c>
    </row>
    <row r="201" spans="1:15" x14ac:dyDescent="0.3">
      <c r="A201" s="7" t="str">
        <f t="shared" si="41"/>
        <v>2009_06_01</v>
      </c>
      <c r="B201">
        <v>6</v>
      </c>
      <c r="C201">
        <v>1</v>
      </c>
      <c r="D201" t="s">
        <v>32</v>
      </c>
      <c r="E201">
        <v>2009</v>
      </c>
      <c r="F201" t="s">
        <v>134</v>
      </c>
      <c r="H201" s="7" t="e">
        <f t="shared" si="42"/>
        <v>#VALUE!</v>
      </c>
      <c r="I201" s="7" t="e">
        <f t="shared" si="43"/>
        <v>#VALUE!</v>
      </c>
      <c r="K201" t="s">
        <v>100</v>
      </c>
      <c r="M201" s="3" t="s">
        <v>36</v>
      </c>
      <c r="N201" t="s">
        <v>89</v>
      </c>
      <c r="O201" t="s">
        <v>81</v>
      </c>
    </row>
    <row r="202" spans="1:15" x14ac:dyDescent="0.3">
      <c r="A202" s="7" t="str">
        <f t="shared" si="41"/>
        <v>2009_05_01</v>
      </c>
      <c r="B202">
        <v>5</v>
      </c>
      <c r="C202">
        <v>1</v>
      </c>
      <c r="D202" t="s">
        <v>27</v>
      </c>
      <c r="E202">
        <v>2009</v>
      </c>
      <c r="F202" t="s">
        <v>132</v>
      </c>
      <c r="H202" s="7" t="e">
        <f t="shared" si="42"/>
        <v>#VALUE!</v>
      </c>
      <c r="I202" s="7" t="e">
        <f t="shared" si="43"/>
        <v>#VALUE!</v>
      </c>
      <c r="K202" t="s">
        <v>100</v>
      </c>
      <c r="M202" s="3" t="s">
        <v>133</v>
      </c>
      <c r="N202" t="s">
        <v>89</v>
      </c>
      <c r="O202" t="s">
        <v>81</v>
      </c>
    </row>
    <row r="203" spans="1:15" x14ac:dyDescent="0.3">
      <c r="A203" s="7" t="str">
        <f t="shared" si="41"/>
        <v>2009_04_01</v>
      </c>
      <c r="B203">
        <v>4</v>
      </c>
      <c r="C203">
        <v>1</v>
      </c>
      <c r="D203" t="s">
        <v>21</v>
      </c>
      <c r="E203">
        <v>2009</v>
      </c>
      <c r="F203" t="s">
        <v>130</v>
      </c>
      <c r="H203" s="7" t="e">
        <f t="shared" si="42"/>
        <v>#VALUE!</v>
      </c>
      <c r="I203" s="7" t="e">
        <f t="shared" si="43"/>
        <v>#VALUE!</v>
      </c>
      <c r="K203" t="s">
        <v>100</v>
      </c>
      <c r="M203" s="3" t="s">
        <v>131</v>
      </c>
      <c r="N203" t="s">
        <v>89</v>
      </c>
      <c r="O203" t="s">
        <v>81</v>
      </c>
    </row>
    <row r="204" spans="1:15" x14ac:dyDescent="0.3">
      <c r="A204" s="7" t="str">
        <f t="shared" si="41"/>
        <v>2009_03_01</v>
      </c>
      <c r="B204">
        <v>3</v>
      </c>
      <c r="C204">
        <v>1</v>
      </c>
      <c r="D204" t="s">
        <v>15</v>
      </c>
      <c r="E204">
        <v>2009</v>
      </c>
      <c r="F204" t="s">
        <v>128</v>
      </c>
      <c r="H204" s="7" t="e">
        <f t="shared" si="42"/>
        <v>#VALUE!</v>
      </c>
      <c r="I204" s="7" t="e">
        <f t="shared" si="43"/>
        <v>#VALUE!</v>
      </c>
      <c r="K204" t="s">
        <v>100</v>
      </c>
      <c r="M204" s="3" t="s">
        <v>129</v>
      </c>
      <c r="N204" t="s">
        <v>89</v>
      </c>
      <c r="O204" t="s">
        <v>81</v>
      </c>
    </row>
    <row r="205" spans="1:15" x14ac:dyDescent="0.3">
      <c r="A205" s="7" t="str">
        <f t="shared" si="41"/>
        <v>2009_02_01</v>
      </c>
      <c r="B205">
        <v>2</v>
      </c>
      <c r="C205">
        <v>1</v>
      </c>
      <c r="D205" t="s">
        <v>10</v>
      </c>
      <c r="E205">
        <v>2009</v>
      </c>
      <c r="F205" t="s">
        <v>126</v>
      </c>
      <c r="H205" s="7" t="e">
        <f t="shared" si="42"/>
        <v>#VALUE!</v>
      </c>
      <c r="I205" s="7" t="e">
        <f t="shared" si="43"/>
        <v>#VALUE!</v>
      </c>
      <c r="K205" t="s">
        <v>100</v>
      </c>
      <c r="M205" s="3" t="s">
        <v>127</v>
      </c>
      <c r="N205" t="s">
        <v>89</v>
      </c>
      <c r="O205" t="s">
        <v>81</v>
      </c>
    </row>
    <row r="206" spans="1:15" x14ac:dyDescent="0.3">
      <c r="A206" s="7" t="str">
        <f t="shared" si="41"/>
        <v>2009_01_01</v>
      </c>
      <c r="B206">
        <v>1</v>
      </c>
      <c r="C206">
        <v>1</v>
      </c>
      <c r="D206" t="s">
        <v>6</v>
      </c>
      <c r="E206">
        <v>2009</v>
      </c>
      <c r="F206" t="s">
        <v>124</v>
      </c>
      <c r="H206" s="7" t="e">
        <f t="shared" si="42"/>
        <v>#VALUE!</v>
      </c>
      <c r="I206" s="7" t="e">
        <f t="shared" si="43"/>
        <v>#VALUE!</v>
      </c>
      <c r="K206" t="s">
        <v>100</v>
      </c>
      <c r="M206" s="3" t="s">
        <v>125</v>
      </c>
      <c r="N206" t="s">
        <v>89</v>
      </c>
      <c r="O206" t="s">
        <v>81</v>
      </c>
    </row>
    <row r="207" spans="1:15" x14ac:dyDescent="0.3">
      <c r="A207" s="7" t="str">
        <f t="shared" si="41"/>
        <v>2008_11_01</v>
      </c>
      <c r="B207">
        <v>11</v>
      </c>
      <c r="C207">
        <v>1</v>
      </c>
      <c r="D207" t="s">
        <v>57</v>
      </c>
      <c r="E207">
        <v>2008</v>
      </c>
      <c r="F207" t="s">
        <v>122</v>
      </c>
      <c r="H207" s="7" t="e">
        <f t="shared" si="42"/>
        <v>#VALUE!</v>
      </c>
      <c r="I207" s="7" t="e">
        <f t="shared" si="43"/>
        <v>#VALUE!</v>
      </c>
      <c r="K207" t="s">
        <v>100</v>
      </c>
      <c r="M207" s="3" t="s">
        <v>123</v>
      </c>
      <c r="N207" t="s">
        <v>89</v>
      </c>
      <c r="O207" t="s">
        <v>81</v>
      </c>
    </row>
    <row r="208" spans="1:15" x14ac:dyDescent="0.3">
      <c r="A208" s="7" t="str">
        <f t="shared" ref="A208:A217" si="44">CONCATENATE(E208,"_",TEXT(B208,"00"),"_",TEXT(C208,"00"))</f>
        <v>2008_10_01</v>
      </c>
      <c r="B208">
        <v>10</v>
      </c>
      <c r="C208">
        <v>1</v>
      </c>
      <c r="D208" t="s">
        <v>47</v>
      </c>
      <c r="E208">
        <v>2008</v>
      </c>
      <c r="F208" t="s">
        <v>120</v>
      </c>
      <c r="H208" s="7" t="e">
        <f t="shared" ref="H208:H215" si="45">MID(J208,FIND("@",J208)+1,FIND(",",J208,FIND("@",J208))-FIND("@",J208)-1)</f>
        <v>#VALUE!</v>
      </c>
      <c r="I208" s="7" t="e">
        <f t="shared" ref="I208:I215" si="46">VALUE(SUBSTITUTE(MID(J208,FIND(",",J208,FIND("@",J208))+1,FIND(",",J208,FIND(",",J208,FIND("@",J208))+1)-FIND(",",J208,FIND("@",J208))-1),".",","))</f>
        <v>#VALUE!</v>
      </c>
      <c r="K208" t="s">
        <v>100</v>
      </c>
      <c r="M208" s="3" t="s">
        <v>121</v>
      </c>
      <c r="N208" t="s">
        <v>89</v>
      </c>
      <c r="O208" t="s">
        <v>81</v>
      </c>
    </row>
    <row r="209" spans="1:15" x14ac:dyDescent="0.3">
      <c r="A209" s="7" t="str">
        <f t="shared" si="44"/>
        <v>2008_07_01</v>
      </c>
      <c r="B209">
        <v>7</v>
      </c>
      <c r="C209">
        <v>1</v>
      </c>
      <c r="D209" t="s">
        <v>37</v>
      </c>
      <c r="E209">
        <v>2008</v>
      </c>
      <c r="F209" t="s">
        <v>118</v>
      </c>
      <c r="H209" s="7" t="e">
        <f t="shared" si="45"/>
        <v>#VALUE!</v>
      </c>
      <c r="I209" s="7" t="e">
        <f t="shared" si="46"/>
        <v>#VALUE!</v>
      </c>
      <c r="K209" t="s">
        <v>100</v>
      </c>
      <c r="M209" s="3" t="s">
        <v>119</v>
      </c>
      <c r="N209" t="s">
        <v>89</v>
      </c>
      <c r="O209" t="s">
        <v>81</v>
      </c>
    </row>
    <row r="210" spans="1:15" x14ac:dyDescent="0.3">
      <c r="A210" s="7" t="str">
        <f t="shared" si="44"/>
        <v>2008_06_01</v>
      </c>
      <c r="B210">
        <v>6</v>
      </c>
      <c r="C210">
        <v>1</v>
      </c>
      <c r="D210" t="s">
        <v>32</v>
      </c>
      <c r="E210">
        <v>2008</v>
      </c>
      <c r="F210" t="s">
        <v>116</v>
      </c>
      <c r="H210" s="7" t="e">
        <f t="shared" si="45"/>
        <v>#VALUE!</v>
      </c>
      <c r="I210" s="7" t="e">
        <f t="shared" si="46"/>
        <v>#VALUE!</v>
      </c>
      <c r="K210" t="s">
        <v>100</v>
      </c>
      <c r="M210" s="3" t="s">
        <v>117</v>
      </c>
      <c r="N210" t="s">
        <v>89</v>
      </c>
      <c r="O210" t="s">
        <v>81</v>
      </c>
    </row>
    <row r="211" spans="1:15" x14ac:dyDescent="0.3">
      <c r="A211" s="7" t="str">
        <f t="shared" si="44"/>
        <v>2008_05_01</v>
      </c>
      <c r="B211">
        <v>5</v>
      </c>
      <c r="C211">
        <v>1</v>
      </c>
      <c r="D211" t="s">
        <v>27</v>
      </c>
      <c r="E211">
        <v>2008</v>
      </c>
      <c r="F211" t="s">
        <v>114</v>
      </c>
      <c r="H211" s="7" t="e">
        <f t="shared" si="45"/>
        <v>#VALUE!</v>
      </c>
      <c r="I211" s="7" t="e">
        <f t="shared" si="46"/>
        <v>#VALUE!</v>
      </c>
      <c r="K211" t="s">
        <v>100</v>
      </c>
      <c r="M211" s="3" t="s">
        <v>115</v>
      </c>
      <c r="N211" t="s">
        <v>89</v>
      </c>
      <c r="O211" t="s">
        <v>81</v>
      </c>
    </row>
    <row r="212" spans="1:15" x14ac:dyDescent="0.3">
      <c r="A212" s="7" t="str">
        <f t="shared" si="44"/>
        <v>2008_04_01</v>
      </c>
      <c r="B212">
        <v>4</v>
      </c>
      <c r="C212">
        <v>1</v>
      </c>
      <c r="D212" t="s">
        <v>21</v>
      </c>
      <c r="E212">
        <v>2008</v>
      </c>
      <c r="F212" t="s">
        <v>112</v>
      </c>
      <c r="H212" s="7" t="e">
        <f t="shared" si="45"/>
        <v>#VALUE!</v>
      </c>
      <c r="I212" s="7" t="e">
        <f t="shared" si="46"/>
        <v>#VALUE!</v>
      </c>
      <c r="K212" t="s">
        <v>100</v>
      </c>
      <c r="M212" s="3" t="s">
        <v>113</v>
      </c>
      <c r="N212" t="s">
        <v>89</v>
      </c>
      <c r="O212" t="s">
        <v>81</v>
      </c>
    </row>
    <row r="213" spans="1:15" x14ac:dyDescent="0.3">
      <c r="A213" s="7" t="str">
        <f t="shared" si="44"/>
        <v>2008_03_01</v>
      </c>
      <c r="B213">
        <v>3</v>
      </c>
      <c r="C213">
        <v>1</v>
      </c>
      <c r="D213" t="s">
        <v>15</v>
      </c>
      <c r="E213">
        <v>2008</v>
      </c>
      <c r="F213" t="s">
        <v>110</v>
      </c>
      <c r="H213" s="7" t="e">
        <f t="shared" si="45"/>
        <v>#VALUE!</v>
      </c>
      <c r="I213" s="7" t="e">
        <f t="shared" si="46"/>
        <v>#VALUE!</v>
      </c>
      <c r="K213" t="s">
        <v>100</v>
      </c>
      <c r="M213" s="3" t="s">
        <v>111</v>
      </c>
      <c r="N213" t="s">
        <v>89</v>
      </c>
      <c r="O213" t="s">
        <v>81</v>
      </c>
    </row>
    <row r="214" spans="1:15" x14ac:dyDescent="0.3">
      <c r="A214" s="7" t="str">
        <f t="shared" si="44"/>
        <v>2008_02_01</v>
      </c>
      <c r="B214">
        <v>2</v>
      </c>
      <c r="C214">
        <v>1</v>
      </c>
      <c r="D214" t="s">
        <v>10</v>
      </c>
      <c r="E214">
        <v>2008</v>
      </c>
      <c r="F214" t="s">
        <v>108</v>
      </c>
      <c r="H214" s="7" t="e">
        <f t="shared" si="45"/>
        <v>#VALUE!</v>
      </c>
      <c r="I214" s="7" t="e">
        <f t="shared" si="46"/>
        <v>#VALUE!</v>
      </c>
      <c r="K214" t="s">
        <v>100</v>
      </c>
      <c r="M214" s="3" t="s">
        <v>109</v>
      </c>
      <c r="N214" t="s">
        <v>89</v>
      </c>
      <c r="O214" t="s">
        <v>81</v>
      </c>
    </row>
    <row r="215" spans="1:15" x14ac:dyDescent="0.3">
      <c r="A215" s="7" t="str">
        <f t="shared" si="44"/>
        <v>2008_01_01</v>
      </c>
      <c r="B215">
        <v>1</v>
      </c>
      <c r="C215">
        <v>1</v>
      </c>
      <c r="D215" t="s">
        <v>6</v>
      </c>
      <c r="E215">
        <v>2008</v>
      </c>
      <c r="F215" t="s">
        <v>106</v>
      </c>
      <c r="H215" s="7" t="e">
        <f t="shared" si="45"/>
        <v>#VALUE!</v>
      </c>
      <c r="I215" s="7" t="e">
        <f t="shared" si="46"/>
        <v>#VALUE!</v>
      </c>
      <c r="K215" t="s">
        <v>100</v>
      </c>
      <c r="M215" s="3" t="s">
        <v>107</v>
      </c>
      <c r="N215" t="s">
        <v>89</v>
      </c>
      <c r="O215" t="s">
        <v>81</v>
      </c>
    </row>
    <row r="216" spans="1:15" x14ac:dyDescent="0.3">
      <c r="A216" s="7" t="str">
        <f t="shared" si="44"/>
        <v>2007_01_01</v>
      </c>
      <c r="B216">
        <v>1</v>
      </c>
      <c r="C216">
        <v>1</v>
      </c>
      <c r="D216" t="s">
        <v>10</v>
      </c>
      <c r="E216">
        <v>2007</v>
      </c>
      <c r="F216" t="s">
        <v>100</v>
      </c>
    </row>
    <row r="217" spans="1:15" x14ac:dyDescent="0.3">
      <c r="A217" s="7" t="str">
        <f t="shared" si="44"/>
        <v>2006_01_01</v>
      </c>
      <c r="B217">
        <v>1</v>
      </c>
      <c r="C217">
        <v>1</v>
      </c>
      <c r="D217" t="s">
        <v>15</v>
      </c>
      <c r="E217">
        <v>2006</v>
      </c>
      <c r="F217" t="s">
        <v>100</v>
      </c>
    </row>
  </sheetData>
  <autoFilter ref="A1:Q217" xr:uid="{0F92D137-B0F7-489C-BBD5-87D14D584D75}">
    <filterColumn colId="11">
      <filters blank="1"/>
    </filterColumn>
    <sortState xmlns:xlrd2="http://schemas.microsoft.com/office/spreadsheetml/2017/richdata2" ref="A2:Q215">
      <sortCondition descending="1" ref="A1"/>
    </sortState>
  </autoFilter>
  <phoneticPr fontId="8" type="noConversion"/>
  <hyperlinks>
    <hyperlink ref="M18" r:id="rId1" xr:uid="{2E8E1893-4FFD-42E3-BDD5-1673A13313C0}"/>
    <hyperlink ref="M13" r:id="rId2" xr:uid="{584A6DDB-921A-47DF-8256-2D8B45E48A50}"/>
    <hyperlink ref="L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8" r:id="rId9" xr:uid="{3D9DA804-152A-45BF-BDEF-3F6F5EFD7069}"/>
    <hyperlink ref="L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215" r:id="rId14" xr:uid="{DBBE5707-EBC6-4F49-876C-F0C93C01F7A4}"/>
    <hyperlink ref="M214" r:id="rId15" xr:uid="{A4474521-5D39-4D37-8AA9-DFDB79964E24}"/>
    <hyperlink ref="M213" r:id="rId16" xr:uid="{5F69072C-C658-43C9-A40E-F47378F444C4}"/>
    <hyperlink ref="M212" r:id="rId17" xr:uid="{FA3409C3-E7BA-4346-A061-5159F7E971B2}"/>
    <hyperlink ref="M211" r:id="rId18" xr:uid="{ECBFB499-58D6-46C7-827F-916C00543B44}"/>
    <hyperlink ref="M210" r:id="rId19" xr:uid="{148DEC1F-8FFE-4C93-8F11-80A7A637B86B}"/>
    <hyperlink ref="M209" r:id="rId20" xr:uid="{44529822-C277-4459-9A96-5F7F00F80EC1}"/>
    <hyperlink ref="M208" r:id="rId21" xr:uid="{2F6649AF-5406-4080-90A5-D64CE5BEEB9D}"/>
    <hyperlink ref="M207" r:id="rId22" xr:uid="{192D5CC3-C7A5-45DB-9134-3A33E013110F}"/>
    <hyperlink ref="M206" r:id="rId23" xr:uid="{E67C247B-A282-4AC7-A7CB-CE7C4367A882}"/>
    <hyperlink ref="M205" r:id="rId24" xr:uid="{D7B7266F-8848-4F46-8720-DC85EE5258E2}"/>
    <hyperlink ref="M204" r:id="rId25" xr:uid="{5DFCB31F-E764-46AF-8E9A-389FB683741E}"/>
    <hyperlink ref="M203" r:id="rId26" xr:uid="{1D1AFCFE-5E77-45B3-B7CE-127B66DC8CF3}"/>
    <hyperlink ref="M202" r:id="rId27" xr:uid="{D27A8454-64B9-4F80-810B-1F582F197C58}"/>
    <hyperlink ref="M201" r:id="rId28" xr:uid="{7A611079-1EB1-45CA-B5F4-12D8835B37E1}"/>
    <hyperlink ref="M200" r:id="rId29" xr:uid="{4EDCA730-57CE-439D-B955-070DA2D89A6E}"/>
    <hyperlink ref="M199" r:id="rId30" xr:uid="{2753A08C-A2C3-41CB-98CA-4E61369718F6}"/>
    <hyperlink ref="M198" r:id="rId31" xr:uid="{8CE2CA18-E0B3-4409-B2AA-D866081B34E8}"/>
    <hyperlink ref="M197" r:id="rId32" xr:uid="{D23CA588-0961-4B63-BB9F-BB515FB00959}"/>
    <hyperlink ref="M196" r:id="rId33" xr:uid="{43DBB737-EF56-4C2B-912E-9655CB477F3A}"/>
    <hyperlink ref="M195" r:id="rId34" xr:uid="{A3838044-B6D6-4BC2-A512-7B27A9545F49}"/>
    <hyperlink ref="M194" r:id="rId35" xr:uid="{A43D6ADB-2317-4C6A-8DE6-C64021FF3B64}"/>
    <hyperlink ref="M193" r:id="rId36" xr:uid="{DF6E6C5E-E6B3-49E1-88FA-FF94E4F513E3}"/>
    <hyperlink ref="M192" r:id="rId37" xr:uid="{3EC48C8E-3BF8-4586-BBAA-227FD6BB7AE8}"/>
    <hyperlink ref="M191" r:id="rId38" xr:uid="{2D13AFAF-2C17-40D7-A1B9-25B64BAFD0FB}"/>
    <hyperlink ref="M190" r:id="rId39" xr:uid="{FDB5A8F3-D080-4C89-B0C6-C705B6103A18}"/>
    <hyperlink ref="M189" r:id="rId40" xr:uid="{C2D310B6-A3F2-4A42-B1D1-A2003990165D}"/>
    <hyperlink ref="M188" r:id="rId41" xr:uid="{FD60C163-E86C-426E-95F4-8DE4B583BA5D}"/>
    <hyperlink ref="M187" r:id="rId42" xr:uid="{E63819A5-A3A8-4E01-B633-ADF57B8BF2EB}"/>
    <hyperlink ref="M186" r:id="rId43" xr:uid="{96AB4BFB-5083-484B-B9E4-6C448F2E210A}"/>
    <hyperlink ref="M185" r:id="rId44" xr:uid="{C38863AC-0D78-43CC-A007-AEA36795B2C8}"/>
    <hyperlink ref="M184" r:id="rId45" xr:uid="{D410525F-396F-49BF-8F9B-D15F45550A60}"/>
    <hyperlink ref="M183" r:id="rId46" xr:uid="{4E916B99-41E5-4302-B314-1A0B9BA49BC7}"/>
    <hyperlink ref="M182" r:id="rId47" xr:uid="{D9B0C23B-77FC-41A4-BAED-B26000301C72}"/>
    <hyperlink ref="M180" r:id="rId48" xr:uid="{97C8F929-EAFF-48B7-89A8-7212B3462599}"/>
    <hyperlink ref="M181" r:id="rId49" xr:uid="{31368A59-A490-45C7-BC4D-F56835250DB7}"/>
    <hyperlink ref="M179" r:id="rId50" xr:uid="{3E0926B4-145C-423A-8C8B-9A0D0850EE3F}"/>
    <hyperlink ref="M178" r:id="rId51" xr:uid="{7965D55E-94C5-461D-B966-BA53BB354A14}"/>
    <hyperlink ref="M177" r:id="rId52" xr:uid="{C8A202FF-4BFD-4A95-9AFE-9D9FEDCDCDC0}"/>
    <hyperlink ref="M176" r:id="rId53" xr:uid="{D14170F4-17E3-4BF9-B555-26C12D608048}"/>
    <hyperlink ref="M175" r:id="rId54" xr:uid="{D6809209-84C9-47D9-A810-E189B0BC40DE}"/>
    <hyperlink ref="M174" r:id="rId55" xr:uid="{F42BB570-E2CA-4965-A8B8-10FDFC8FF34E}"/>
    <hyperlink ref="M173" r:id="rId56" xr:uid="{FCA87BE7-7999-4727-BF7D-445C0398B085}"/>
    <hyperlink ref="M172" r:id="rId57" xr:uid="{320A46A7-0257-4DA0-A5F3-A1488EDD1A79}"/>
    <hyperlink ref="M171" r:id="rId58" xr:uid="{FA512B5F-AA2A-438D-B15E-0D58E9D492D2}"/>
    <hyperlink ref="M170" r:id="rId59" xr:uid="{2ED7D544-1DFD-440C-A69B-AD4F83423B1A}"/>
    <hyperlink ref="M169" r:id="rId60" xr:uid="{ECD207B8-2B0A-4E25-928B-395A6134DB1A}"/>
    <hyperlink ref="M168" r:id="rId61" xr:uid="{44C83662-CD2D-4D3D-9B7B-1672098CFAE6}"/>
    <hyperlink ref="M167" r:id="rId62" xr:uid="{34C0FA3D-1DA4-494C-9FE9-24F65FCA276A}"/>
    <hyperlink ref="M166" r:id="rId63" xr:uid="{21C22F5F-A553-4CD8-9BA2-778C090DA56D}"/>
    <hyperlink ref="M165" r:id="rId64" xr:uid="{842A06A5-D466-405B-9647-32AFFAF7B500}"/>
    <hyperlink ref="M164" r:id="rId65" xr:uid="{4ACC030E-F55F-4D7A-9419-751CE23E1C2D}"/>
    <hyperlink ref="M163" r:id="rId66" xr:uid="{D8BC8956-AABC-40CE-B789-7863E8E53E02}"/>
    <hyperlink ref="M162" r:id="rId67" xr:uid="{E537F994-5EF8-42D8-B9D9-EEB46CA87FE0}"/>
    <hyperlink ref="M161" r:id="rId68" xr:uid="{B5648BB9-02BC-43FB-A38E-75BB6494C24D}"/>
    <hyperlink ref="M160" r:id="rId69" xr:uid="{CD1C7B06-1059-44E3-859F-CDC954A55F55}"/>
    <hyperlink ref="M159" r:id="rId70" xr:uid="{2BFBFD59-1351-4ACA-A6EE-CCD053F2CA7A}"/>
    <hyperlink ref="M158" r:id="rId71" xr:uid="{21909C03-688D-4062-AB8C-329A723649B5}"/>
    <hyperlink ref="M157" r:id="rId72" xr:uid="{4467444B-EAC9-4832-8E04-C30E2F35EAD0}"/>
    <hyperlink ref="M156" r:id="rId73" xr:uid="{8009F3EE-083D-4DFF-A436-C3A740472BC2}"/>
    <hyperlink ref="M155" r:id="rId74" xr:uid="{9BBE03B1-E5A3-425F-9114-5F33CB6D2514}"/>
    <hyperlink ref="M154" r:id="rId75" xr:uid="{3F7617B5-188A-483A-8007-C8771EF49F4F}"/>
    <hyperlink ref="M153" r:id="rId76" xr:uid="{C0A0EC6A-1CEA-4E3F-BDD2-C65665D739FF}"/>
    <hyperlink ref="M152" r:id="rId77" xr:uid="{1241A81C-62B1-45A0-9D52-5679188CDDD9}"/>
    <hyperlink ref="M151" r:id="rId78" xr:uid="{CA989BB9-5A48-4AE1-A4A2-EF498C6C3BAD}"/>
    <hyperlink ref="M150" r:id="rId79" xr:uid="{C674C80F-1C5A-437C-9B5D-9D0A96EBC1E3}"/>
    <hyperlink ref="M148" r:id="rId80" xr:uid="{DF1A53F4-E993-4434-B640-9334B23D4E62}"/>
    <hyperlink ref="M147" r:id="rId81" xr:uid="{6D846AC1-4EC5-48C1-93A2-3E204DA2EC20}"/>
    <hyperlink ref="M146" r:id="rId82" xr:uid="{F641805E-F70A-4C3B-89A8-6FCD9185EE30}"/>
    <hyperlink ref="M145" r:id="rId83" xr:uid="{CE29BA8C-F98F-4F90-A7FE-2DB2FD91A665}"/>
    <hyperlink ref="M144" r:id="rId84" xr:uid="{56EA325F-0FBE-4A8D-8D36-B8EEEC5DFA72}"/>
    <hyperlink ref="M143" r:id="rId85" xr:uid="{331AB0D9-1893-4A5D-BC13-74BF9F5FF618}"/>
    <hyperlink ref="M142" r:id="rId86" xr:uid="{774A54DB-05D3-4049-A155-D00A1B5E4A6D}"/>
    <hyperlink ref="M141" r:id="rId87" xr:uid="{251642CB-E212-416A-B829-9127832B7134}"/>
    <hyperlink ref="M139" r:id="rId88" xr:uid="{2E12C60F-592D-4D84-A5DD-7611453CEC8C}"/>
    <hyperlink ref="M138" r:id="rId89" xr:uid="{898C19D5-D9E0-4EAB-A9E0-1122B2A377F8}"/>
    <hyperlink ref="M137" r:id="rId90" xr:uid="{A56F3A44-B716-4FEC-8B3C-D0E0FEF62E1C}"/>
    <hyperlink ref="M136" r:id="rId91" xr:uid="{C4EBC69F-4BD8-45C6-9C33-F1F990FB36A8}"/>
    <hyperlink ref="M135" r:id="rId92" xr:uid="{B5C0D481-3908-4F1F-9788-CAB7B9DA0B0E}"/>
    <hyperlink ref="M134" r:id="rId93" xr:uid="{DC5534BF-84CE-48B7-A379-920C9328FBCF}"/>
    <hyperlink ref="M133" r:id="rId94" xr:uid="{09DAE734-6C84-442A-AC83-35B729343EF6}"/>
    <hyperlink ref="M132" r:id="rId95" xr:uid="{97255167-3632-4049-AFE9-5FE415C0DE67}"/>
    <hyperlink ref="M131" r:id="rId96" xr:uid="{78B90D94-38CD-4C66-BDD7-88B57B8F0306}"/>
    <hyperlink ref="M130" r:id="rId97" xr:uid="{5D3798C3-A649-45C5-A8FD-95672E9A8D7F}"/>
    <hyperlink ref="M129" r:id="rId98" xr:uid="{92AB0068-1CF9-4C0D-AB0E-B0C846969742}"/>
    <hyperlink ref="M128" r:id="rId99" xr:uid="{11305281-6BD2-4173-9F55-38DC498CD715}"/>
    <hyperlink ref="M127" r:id="rId100" xr:uid="{E3EA20DA-774C-4295-9106-3CE3CF17E6BA}"/>
    <hyperlink ref="M126" r:id="rId101" xr:uid="{926F0C13-5566-40D5-988B-2E10E42C7216}"/>
    <hyperlink ref="M125" r:id="rId102" xr:uid="{29815DD0-BC79-43CF-B59A-50118B3556E9}"/>
    <hyperlink ref="M124" r:id="rId103" xr:uid="{3E74C049-2AF9-4A92-8E17-FA66355935E8}"/>
    <hyperlink ref="M123" r:id="rId104" xr:uid="{3EA06B6D-71C1-4427-925B-10653F045E58}"/>
    <hyperlink ref="M122" r:id="rId105" xr:uid="{C26B4B7C-4D12-444C-BB48-6CC838378FBF}"/>
    <hyperlink ref="M121" r:id="rId106" xr:uid="{190B950F-7677-4B58-9C37-397E978A1995}"/>
    <hyperlink ref="M120" r:id="rId107" xr:uid="{53068BE2-69E9-4110-9B0D-6D5E0ECCFE3F}"/>
    <hyperlink ref="M119" r:id="rId108" xr:uid="{6AA9DC36-E260-4124-AA8F-65AB45009333}"/>
    <hyperlink ref="M118" r:id="rId109" xr:uid="{AE86CD77-8679-4464-8A16-A5B0D872A2E1}"/>
    <hyperlink ref="M117" r:id="rId110" xr:uid="{9622303F-AEFE-4FBE-8BD2-5339070036C4}"/>
    <hyperlink ref="M115" r:id="rId111" xr:uid="{9BAEDEAA-64E9-46E2-B5F9-1FCD1BE158CB}"/>
    <hyperlink ref="M114" r:id="rId112" xr:uid="{3CC1A1F8-5000-463C-B461-77A5F3BC5D0F}"/>
    <hyperlink ref="M113" r:id="rId113" xr:uid="{941C564A-7EF6-4D54-BA11-D0AE62703B65}"/>
    <hyperlink ref="M112" r:id="rId114" xr:uid="{07E2D972-5948-4B50-98CE-310AE825F9E0}"/>
    <hyperlink ref="M111" r:id="rId115" xr:uid="{F69BA842-082E-471E-997D-98380E8051AA}"/>
    <hyperlink ref="M110" r:id="rId116" xr:uid="{4E4A5ACF-AA45-4309-A95A-D894A01126DF}"/>
    <hyperlink ref="M109" r:id="rId117" xr:uid="{2534ACAB-9502-4BC3-863E-AA3ED9D9728F}"/>
    <hyperlink ref="M108" r:id="rId118" xr:uid="{9E215D88-BCC2-44FE-B3DA-AE209CA38DC0}"/>
    <hyperlink ref="M107" r:id="rId119" xr:uid="{3F0D194E-8D54-44A5-9F36-E7CD0D2F2A93}"/>
    <hyperlink ref="M106" r:id="rId120" xr:uid="{DC4B1AA0-BB5D-4F31-8995-BF151F12CF9F}"/>
    <hyperlink ref="M105" r:id="rId121" xr:uid="{BA00B9CC-C2BC-4F30-8A04-4953B8463575}"/>
    <hyperlink ref="M103" r:id="rId122" xr:uid="{FC498B52-EDA9-4047-99A3-7B5332443678}"/>
    <hyperlink ref="M102" r:id="rId123" xr:uid="{5BEF8B13-51AE-4F4A-9AE0-9621B335A6AF}"/>
    <hyperlink ref="M101" r:id="rId124" xr:uid="{75AD6C76-A191-41CD-8AAB-2863BF9A1465}"/>
    <hyperlink ref="M100" r:id="rId125" xr:uid="{1F267B80-67A1-449D-8F3A-34D3AB85EA77}"/>
    <hyperlink ref="M99" r:id="rId126" xr:uid="{CE0B8001-C85F-4FC2-8E64-6A3A52E48DB7}"/>
    <hyperlink ref="M98" r:id="rId127" xr:uid="{FE820BE6-0940-45F1-8A88-336C504051D8}"/>
    <hyperlink ref="M97" r:id="rId128" xr:uid="{D46F2A70-E519-43D5-AC33-A7745B60E430}"/>
    <hyperlink ref="M96" r:id="rId129" xr:uid="{CBB9EF77-41A1-4AD3-89E6-78E528647978}"/>
    <hyperlink ref="M95" r:id="rId130" xr:uid="{1B17D740-2768-4E0D-B483-288AED1CEC01}"/>
    <hyperlink ref="M93" r:id="rId131" xr:uid="{DE2D8773-2EA2-4A5F-AFE5-0BA53B3483AC}"/>
    <hyperlink ref="M92" r:id="rId132" xr:uid="{7E5CCF34-0C0D-4AAF-925C-7A0642057A18}"/>
    <hyperlink ref="M91" r:id="rId133" xr:uid="{1B726A92-E26F-4FEB-B552-683EDEE7B148}"/>
    <hyperlink ref="M90" r:id="rId134" xr:uid="{E37C8B16-16F0-4396-A55F-51DC09322C41}"/>
    <hyperlink ref="M89" r:id="rId135" xr:uid="{3432AA29-35EC-43AA-BDAD-A511A3A4B294}"/>
    <hyperlink ref="M88" r:id="rId136" xr:uid="{51C03E78-7F82-4D69-96A3-9D3DDE5C79FE}"/>
    <hyperlink ref="M87" r:id="rId137" xr:uid="{A62FE793-5F2D-4ED3-9DF8-1E9341F860CC}"/>
    <hyperlink ref="M86" r:id="rId138" xr:uid="{0C8D6F7C-AE7A-4A75-AC23-8442AC3D25D0}"/>
    <hyperlink ref="M85" r:id="rId139" xr:uid="{CFD9C8D4-59E6-42E7-8DD5-6238D1E6D136}"/>
    <hyperlink ref="M84" r:id="rId140" xr:uid="{3EDFAB6F-3185-4368-A901-B08C7C55F138}"/>
    <hyperlink ref="M83" r:id="rId141" xr:uid="{651F0222-6530-46D8-BC40-90DFD37CC621}"/>
    <hyperlink ref="M82" r:id="rId142" xr:uid="{7CAF0243-0E00-402D-A6AA-4546751DAEFD}"/>
    <hyperlink ref="M81" r:id="rId143" xr:uid="{9DAF23D5-891E-4B4C-B174-72BEEF4E228C}"/>
    <hyperlink ref="M80" r:id="rId144" xr:uid="{4E4A76F6-6AB6-47B3-AB77-C259D7C4E000}"/>
    <hyperlink ref="M79" r:id="rId145" xr:uid="{E7E4D33B-2293-4EE8-9D7D-FD0CE30EDE67}"/>
    <hyperlink ref="M78" r:id="rId146" xr:uid="{AA7ECEE3-6674-4EAE-8652-F5E3308D85CA}"/>
    <hyperlink ref="M77" r:id="rId147" xr:uid="{22BF2553-9DB6-437F-B044-A38558EEB0FA}"/>
    <hyperlink ref="M76" r:id="rId148" xr:uid="{61296B93-F4C3-4856-853A-FC24B0DF5D26}"/>
    <hyperlink ref="M75" r:id="rId149" xr:uid="{3A8CBC92-A08C-491C-96BE-835F6DC226C5}"/>
    <hyperlink ref="M73" r:id="rId150" xr:uid="{75817DB8-15CF-4866-95F5-1B9142141E15}"/>
    <hyperlink ref="M72" r:id="rId151" xr:uid="{34EFA958-38F7-484F-BE05-FB03009C5959}"/>
    <hyperlink ref="M71" r:id="rId152" xr:uid="{B9894A77-B159-4DCF-8BA0-FC9230377ED2}"/>
    <hyperlink ref="M70" r:id="rId153" xr:uid="{DBDF9FDC-D94A-4505-BCF9-910A9427E28E}"/>
    <hyperlink ref="M69" r:id="rId154" xr:uid="{84A13B48-8CAA-430E-AD0A-969FCB20A85E}"/>
    <hyperlink ref="M68" r:id="rId155" xr:uid="{342E29E3-005E-4AE4-8269-7F0012AD7E18}"/>
    <hyperlink ref="M66" r:id="rId156" xr:uid="{100257CF-B4C2-4A5E-818C-48B28D868337}"/>
    <hyperlink ref="M62" r:id="rId157" xr:uid="{69EDE821-18D4-4DB5-AA15-6FC022A1979A}"/>
    <hyperlink ref="M60" r:id="rId158" xr:uid="{A4C73427-7E90-4EE6-A0E2-73E15D2C1C9F}"/>
    <hyperlink ref="M59" r:id="rId159" xr:uid="{6405A60A-AF40-483F-A085-1ACE74BDD7CC}"/>
    <hyperlink ref="M57" r:id="rId160" xr:uid="{5A0DC688-08D1-47FB-9E71-1F48699DE9A3}"/>
    <hyperlink ref="M55" r:id="rId161" xr:uid="{3B55CB22-6266-44C0-A276-7AF395B75F5B}"/>
    <hyperlink ref="M54" r:id="rId162" xr:uid="{07A87368-D619-4179-B931-180BF557101A}"/>
    <hyperlink ref="M53" r:id="rId163" xr:uid="{1BF3102E-4DEB-45FD-B11D-01BF814EB430}"/>
    <hyperlink ref="M52" r:id="rId164" xr:uid="{D4FBB37B-CF0E-4C85-A0CD-24E0B709C3D0}"/>
    <hyperlink ref="M50" r:id="rId165" xr:uid="{7EE84BE8-37B4-4EB8-B870-CCE37E67FF6E}"/>
    <hyperlink ref="M48" r:id="rId166" xr:uid="{F7DC9B1D-BEC6-4EA2-8443-F71876D63678}"/>
    <hyperlink ref="M46" r:id="rId167" xr:uid="{C8F61896-66CD-435C-B8C9-043A159F48DD}"/>
    <hyperlink ref="M44" r:id="rId168" xr:uid="{BE41C50A-DFCC-4C98-A683-525F9D61607B}"/>
    <hyperlink ref="M42" r:id="rId169" xr:uid="{8FF55BFC-DE5B-4CE5-8619-A9F16B2FD8F0}"/>
    <hyperlink ref="M41" r:id="rId170" xr:uid="{9C007AA1-0C85-43DE-9430-9FA2747B0398}"/>
    <hyperlink ref="M40" r:id="rId171" xr:uid="{EF5F0F89-9B97-4E82-8845-E3C23870EADF}"/>
    <hyperlink ref="M39" r:id="rId172" xr:uid="{76982ED8-D3D3-4900-AEAB-D8FA23352836}"/>
    <hyperlink ref="M38" r:id="rId173" xr:uid="{21CB1688-1CED-4630-B931-2794CCD3AE27}"/>
    <hyperlink ref="M37" r:id="rId174" xr:uid="{C1D26DA9-3643-467A-9B73-73FA266B8A71}"/>
    <hyperlink ref="M36" r:id="rId175" xr:uid="{7B59D6A2-354B-40F4-81BD-4F3D9822BB59}"/>
    <hyperlink ref="M35" r:id="rId176" xr:uid="{1799BBDC-A5D9-4917-8CAC-599CA58BA9C4}"/>
    <hyperlink ref="M34" r:id="rId177" xr:uid="{8D5358E5-A429-4187-9787-71A44DB54532}"/>
    <hyperlink ref="M32" r:id="rId178" xr:uid="{BD2DA214-15FB-4553-BC3C-A01654B0C541}"/>
    <hyperlink ref="M31" r:id="rId179" xr:uid="{6AA1510A-3B7F-4ED5-8032-077FB362F726}"/>
    <hyperlink ref="M29" r:id="rId180" xr:uid="{F2EAE1BB-DE21-490C-BFAA-5A658B877B01}"/>
    <hyperlink ref="M27" r:id="rId181" xr:uid="{EF73B41B-0F6A-482D-A2FF-5F089E9C630C}"/>
    <hyperlink ref="M26" r:id="rId182" xr:uid="{81B897F5-5EE2-4BCE-AF31-FB71115C08E9}"/>
    <hyperlink ref="M24" r:id="rId183" xr:uid="{034DDDBA-5847-44C8-97BD-9CBE51DCC796}"/>
    <hyperlink ref="M22" r:id="rId184" xr:uid="{5421D900-02E9-4978-BF7A-28B03DB18A22}"/>
    <hyperlink ref="M21" r:id="rId185" xr:uid="{88481026-2170-4B5F-9544-16083DD31251}"/>
    <hyperlink ref="M20" r:id="rId186" xr:uid="{F4CBCE67-D0CA-4832-9647-7C0142BAC467}"/>
    <hyperlink ref="M149" r:id="rId187" xr:uid="{E9B720F7-E4D1-45D5-92DA-BD25B3897C91}"/>
    <hyperlink ref="M140" r:id="rId188" xr:uid="{00D6A15B-1329-4D18-9CBE-753711D93C3A}"/>
    <hyperlink ref="M116" r:id="rId189" xr:uid="{FEA38AE6-EBAD-4B28-8CEB-23600631764F}"/>
    <hyperlink ref="M104" r:id="rId190" xr:uid="{6C46EDA8-83B5-450C-B398-41ECED34DE7C}"/>
    <hyperlink ref="M94" r:id="rId191" xr:uid="{54C730E8-48A2-4A13-9B71-7064AA0456AB}"/>
    <hyperlink ref="M74" r:id="rId192" xr:uid="{AAF23846-01B8-4D75-B818-F819A5A96D1B}"/>
    <hyperlink ref="M64" r:id="rId193" xr:uid="{2CF1B2B9-9CCE-4DD4-BBA4-DC1C018E531A}"/>
    <hyperlink ref="M43" r:id="rId194" xr:uid="{895CD702-258D-40DC-A638-C197F4FE5AA3}"/>
    <hyperlink ref="M28" r:id="rId195" xr:uid="{9C939637-6F19-4F15-863E-2A00F1B8751E}"/>
    <hyperlink ref="L22" r:id="rId19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" r:id="rId19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7" r:id="rId19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8" r:id="rId19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9" r:id="rId20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30" r:id="rId20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50" r:id="rId20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51" r:id="rId20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L54" r:id="rId204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</hyperlinks>
  <pageMargins left="0.7" right="0.7" top="0.75" bottom="0.75" header="0.3" footer="0.3"/>
  <pageSetup paperSize="9" orientation="portrait" horizontalDpi="0" verticalDpi="0" r:id="rId20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2026-07-19T16:47:29Z</dcterms:modified>
</cp:coreProperties>
</file>